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14772" yWindow="456" windowWidth="14904" windowHeight="16380"/>
  </bookViews>
  <sheets>
    <sheet name="exercise1" sheetId="5" r:id="rId1"/>
    <sheet name="exercise2" sheetId="7" r:id="rId2"/>
    <sheet name="exercise3" sheetId="1" r:id="rId3"/>
    <sheet name="exercise4" sheetId="2" r:id="rId4"/>
    <sheet name="exercise5" sheetId="8" r:id="rId5"/>
    <sheet name="exercise6" sheetId="9" r:id="rId6"/>
    <sheet name="app1" sheetId="3" r:id="rId7"/>
    <sheet name="app2" sheetId="4" r:id="rId8"/>
  </sheets>
  <functionGroups builtInGroupCount="18"/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8" i="7" l="1"/>
  <c r="B37" i="7"/>
  <c r="F38" i="7"/>
  <c r="B39" i="7"/>
  <c r="F39" i="7"/>
  <c r="B40" i="7"/>
  <c r="F40" i="7"/>
  <c r="B41" i="7"/>
  <c r="F41" i="7"/>
  <c r="B36" i="7"/>
  <c r="F37" i="7"/>
  <c r="D28" i="5"/>
  <c r="E28" i="5"/>
  <c r="F28" i="5"/>
  <c r="G28" i="5"/>
  <c r="B5" i="7"/>
  <c r="B6" i="7"/>
  <c r="B7" i="7"/>
  <c r="B8" i="7"/>
  <c r="B9" i="7"/>
  <c r="B10" i="7"/>
  <c r="B19" i="7"/>
  <c r="E19" i="7"/>
  <c r="F19" i="7"/>
  <c r="B20" i="7"/>
  <c r="E20" i="7"/>
  <c r="F20" i="7"/>
  <c r="B21" i="7"/>
  <c r="E21" i="7"/>
  <c r="F21" i="7"/>
  <c r="B22" i="7"/>
  <c r="E22" i="7"/>
  <c r="F22" i="7"/>
  <c r="B23" i="7"/>
  <c r="E23" i="7"/>
  <c r="F23" i="7"/>
  <c r="B24" i="7"/>
  <c r="E24" i="7"/>
  <c r="F24" i="7"/>
  <c r="E36" i="7"/>
  <c r="F36" i="7"/>
  <c r="G36" i="7"/>
  <c r="E37" i="7"/>
  <c r="G37" i="7"/>
  <c r="E38" i="7"/>
  <c r="G38" i="7"/>
  <c r="E39" i="7"/>
  <c r="G39" i="7"/>
  <c r="E40" i="7"/>
  <c r="G40" i="7"/>
  <c r="E41" i="7"/>
  <c r="G41" i="7"/>
  <c r="D3" i="5"/>
  <c r="D4" i="5"/>
  <c r="D5" i="5"/>
  <c r="D6" i="5"/>
  <c r="D7" i="5"/>
  <c r="D8" i="5"/>
  <c r="D9" i="5"/>
  <c r="D10" i="5"/>
  <c r="D11" i="5"/>
  <c r="D12" i="5"/>
  <c r="D13" i="5"/>
  <c r="D20" i="5"/>
  <c r="C34" i="5"/>
  <c r="B41" i="5"/>
  <c r="C41" i="5"/>
  <c r="D41" i="5"/>
  <c r="E41" i="5"/>
  <c r="B50" i="5"/>
  <c r="C50" i="5"/>
  <c r="E50" i="5"/>
  <c r="C100" i="4"/>
  <c r="G100" i="4"/>
  <c r="C105" i="4"/>
  <c r="G105" i="4"/>
  <c r="C109" i="4"/>
  <c r="G109" i="4"/>
  <c r="C103" i="4"/>
  <c r="G103" i="4"/>
  <c r="C106" i="4"/>
  <c r="G106" i="4"/>
  <c r="C107" i="4"/>
  <c r="G107" i="4"/>
  <c r="C104" i="4"/>
  <c r="G104" i="4"/>
  <c r="C108" i="4"/>
  <c r="G108" i="4"/>
  <c r="C101" i="4"/>
  <c r="G101" i="4"/>
  <c r="C102" i="4"/>
  <c r="G102" i="4"/>
  <c r="C110" i="4"/>
  <c r="G110" i="4"/>
  <c r="C111" i="4"/>
  <c r="G111" i="4"/>
  <c r="I14" i="4"/>
  <c r="H100" i="4"/>
  <c r="B52" i="4"/>
  <c r="L100" i="4"/>
  <c r="C43" i="4"/>
  <c r="C129" i="4"/>
  <c r="C34" i="4"/>
  <c r="G34" i="4"/>
  <c r="C119" i="4"/>
  <c r="C15" i="4"/>
  <c r="C16" i="4"/>
  <c r="C48" i="4"/>
  <c r="C25" i="4"/>
  <c r="C118" i="4"/>
  <c r="G25" i="4"/>
  <c r="C23" i="4"/>
  <c r="G23" i="4"/>
  <c r="C33" i="4"/>
  <c r="C32" i="4"/>
  <c r="G32" i="4"/>
  <c r="G43" i="4"/>
  <c r="G129" i="4"/>
  <c r="C128" i="4"/>
  <c r="G16" i="4"/>
  <c r="C127" i="4"/>
  <c r="G127" i="4"/>
  <c r="G128" i="4"/>
  <c r="C44" i="4"/>
  <c r="C21" i="4"/>
  <c r="G21" i="4"/>
  <c r="C38" i="4"/>
  <c r="G38" i="4"/>
  <c r="C123" i="4"/>
  <c r="C19" i="4"/>
  <c r="C20" i="4"/>
  <c r="G20" i="4"/>
  <c r="C114" i="4"/>
  <c r="C29" i="4"/>
  <c r="C126" i="4"/>
  <c r="G114" i="4"/>
  <c r="C42" i="4"/>
  <c r="G42" i="4"/>
  <c r="C112" i="4"/>
  <c r="C24" i="4"/>
  <c r="G24" i="4"/>
  <c r="C122" i="4"/>
  <c r="G119" i="4"/>
  <c r="C41" i="4"/>
  <c r="G41" i="4"/>
  <c r="G126" i="4"/>
  <c r="C124" i="4"/>
  <c r="C121" i="4"/>
  <c r="C26" i="4"/>
  <c r="G26" i="4"/>
  <c r="G124" i="4"/>
  <c r="C40" i="4"/>
  <c r="G40" i="4"/>
  <c r="C14" i="4"/>
  <c r="C115" i="4"/>
  <c r="G115" i="4"/>
  <c r="G15" i="4"/>
  <c r="G29" i="4"/>
  <c r="G118" i="4"/>
  <c r="G14" i="4"/>
  <c r="C27" i="4"/>
  <c r="G27" i="4"/>
  <c r="C116" i="4"/>
  <c r="G116" i="4"/>
  <c r="C28" i="4"/>
  <c r="G28" i="4"/>
  <c r="C113" i="4"/>
  <c r="G113" i="4"/>
  <c r="C130" i="4"/>
  <c r="G121" i="4"/>
  <c r="C37" i="4"/>
  <c r="G37" i="4"/>
  <c r="G33" i="4"/>
  <c r="G122" i="4"/>
  <c r="C18" i="4"/>
  <c r="G18" i="4"/>
  <c r="G123" i="4"/>
  <c r="C31" i="4"/>
  <c r="G31" i="4"/>
  <c r="C120" i="4"/>
  <c r="G120" i="4"/>
  <c r="C117" i="4"/>
  <c r="G117" i="4"/>
  <c r="C22" i="4"/>
  <c r="G112" i="4"/>
  <c r="C35" i="4"/>
  <c r="G35" i="4"/>
  <c r="C36" i="4"/>
  <c r="G36" i="4"/>
  <c r="G44" i="4"/>
  <c r="G130" i="4"/>
  <c r="C39" i="4"/>
  <c r="G39" i="4"/>
  <c r="C125" i="4"/>
  <c r="G125" i="4"/>
  <c r="C17" i="4"/>
  <c r="G17" i="4"/>
  <c r="C30" i="4"/>
  <c r="G30" i="4"/>
  <c r="G22" i="4"/>
  <c r="G19" i="4"/>
</calcChain>
</file>

<file path=xl/sharedStrings.xml><?xml version="1.0" encoding="utf-8"?>
<sst xmlns="http://schemas.openxmlformats.org/spreadsheetml/2006/main" count="239" uniqueCount="144">
  <si>
    <t>S0</t>
  </si>
  <si>
    <t>r</t>
  </si>
  <si>
    <t>q</t>
  </si>
  <si>
    <t>T</t>
  </si>
  <si>
    <t>sigma</t>
  </si>
  <si>
    <t>K</t>
  </si>
  <si>
    <t>call</t>
  </si>
  <si>
    <t>n</t>
  </si>
  <si>
    <t>each node is a tuple (spot price, value of option, delta)</t>
  </si>
  <si>
    <t>put</t>
  </si>
  <si>
    <t>3)</t>
  </si>
  <si>
    <t>4)</t>
  </si>
  <si>
    <t>Kcall</t>
  </si>
  <si>
    <t>Kput</t>
  </si>
  <si>
    <t>( 5.99366250518812,  46.0063374948119)</t>
  </si>
  <si>
    <t>each node is a tuple (spot price, continuation value, intrinsic value, value of option, delta)</t>
  </si>
  <si>
    <t>comment</t>
    <phoneticPr fontId="3" type="noConversion"/>
  </si>
  <si>
    <t>call</t>
    <phoneticPr fontId="3" type="noConversion"/>
  </si>
  <si>
    <t>call</t>
    <phoneticPr fontId="3" type="noConversion"/>
  </si>
  <si>
    <t>call</t>
    <phoneticPr fontId="3" type="noConversion"/>
  </si>
  <si>
    <t>put</t>
    <phoneticPr fontId="3" type="noConversion"/>
  </si>
  <si>
    <t>put</t>
    <phoneticPr fontId="3" type="noConversion"/>
  </si>
  <si>
    <t>put</t>
    <phoneticPr fontId="3" type="noConversion"/>
  </si>
  <si>
    <t>lambda</t>
    <phoneticPr fontId="3" type="noConversion"/>
  </si>
  <si>
    <t>tao</t>
    <phoneticPr fontId="3" type="noConversion"/>
  </si>
  <si>
    <t xml:space="preserve">m </t>
    <phoneticPr fontId="3" type="noConversion"/>
  </si>
  <si>
    <t>forward price</t>
    <phoneticPr fontId="3" type="noConversion"/>
  </si>
  <si>
    <t>implied vol</t>
    <phoneticPr fontId="3" type="noConversion"/>
  </si>
  <si>
    <t>OTMf option</t>
    <phoneticPr fontId="3" type="noConversion"/>
  </si>
  <si>
    <t>K</t>
    <phoneticPr fontId="3" type="noConversion"/>
  </si>
  <si>
    <t>`</t>
    <phoneticPr fontId="3" type="noConversion"/>
  </si>
  <si>
    <t>d)and e)</t>
    <phoneticPr fontId="3" type="noConversion"/>
  </si>
  <si>
    <t>c)</t>
    <phoneticPr fontId="3" type="noConversion"/>
  </si>
  <si>
    <t>lambda</t>
    <phoneticPr fontId="3" type="noConversion"/>
  </si>
  <si>
    <t>tao</t>
    <phoneticPr fontId="3" type="noConversion"/>
  </si>
  <si>
    <t>forward price</t>
    <phoneticPr fontId="3" type="noConversion"/>
  </si>
  <si>
    <t>m</t>
    <phoneticPr fontId="3" type="noConversion"/>
  </si>
  <si>
    <t>b)</t>
    <phoneticPr fontId="3" type="noConversion"/>
  </si>
  <si>
    <t>call</t>
    <phoneticPr fontId="3" type="noConversion"/>
  </si>
  <si>
    <t>call</t>
    <phoneticPr fontId="3" type="noConversion"/>
  </si>
  <si>
    <t>put</t>
    <phoneticPr fontId="3" type="noConversion"/>
  </si>
  <si>
    <t>OTMf option</t>
    <phoneticPr fontId="3" type="noConversion"/>
  </si>
  <si>
    <t>K</t>
    <phoneticPr fontId="3" type="noConversion"/>
  </si>
  <si>
    <t>estimation error, for all of your options.</t>
  </si>
  <si>
    <t>for the implied volatility, and verify that your function returns the same volatility, up to</t>
  </si>
  <si>
    <t>call option otherwise). Implement a VBA function that takes a call / put price and solves</t>
  </si>
  <si>
    <t>of the corresponding OTMf option (a put option if the strike is less than the forward, a</t>
  </si>
  <si>
    <t>(a) For strikes running from 50 to 200, spaced 5 apart, compute the Black-Scholes value</t>
  </si>
  <si>
    <t>a)</t>
    <phoneticPr fontId="3" type="noConversion"/>
  </si>
  <si>
    <t>T</t>
    <phoneticPr fontId="3" type="noConversion"/>
  </si>
  <si>
    <t>sigma</t>
    <phoneticPr fontId="3" type="noConversion"/>
  </si>
  <si>
    <t>q</t>
    <phoneticPr fontId="3" type="noConversion"/>
  </si>
  <si>
    <t>r</t>
    <phoneticPr fontId="3" type="noConversion"/>
  </si>
  <si>
    <t>S0</t>
    <phoneticPr fontId="3" type="noConversion"/>
  </si>
  <si>
    <t>F</t>
    <phoneticPr fontId="3" type="noConversion"/>
  </si>
  <si>
    <t>X_0</t>
    <phoneticPr fontId="3" type="noConversion"/>
  </si>
  <si>
    <t>r_d</t>
    <phoneticPr fontId="3" type="noConversion"/>
  </si>
  <si>
    <t>r_f</t>
    <phoneticPr fontId="3" type="noConversion"/>
  </si>
  <si>
    <t>foreign currency per unit domestic currency.)</t>
  </si>
  <si>
    <t>expressed with continuous compounding. (Express your answer as number of units</t>
  </si>
  <si>
    <t>currency per unit domestic currency—in which the 6-month risk-free rate is 2.2%,</t>
  </si>
  <si>
    <t>(e) A foreign currency with spot exchange rate 1.2—expressed as number of units foreign</t>
  </si>
  <si>
    <t>S_2 (after splitting)</t>
    <phoneticPr fontId="3" type="noConversion"/>
  </si>
  <si>
    <t>S_1(instantly before splitting)</t>
    <phoneticPr fontId="3" type="noConversion"/>
  </si>
  <si>
    <t>t</t>
    <phoneticPr fontId="3" type="noConversion"/>
  </si>
  <si>
    <t>S</t>
    <phoneticPr fontId="3" type="noConversion"/>
  </si>
  <si>
    <t>Assume that between time 0 to 0.25, the interest rate is constant.</t>
    <phoneticPr fontId="3" type="noConversion"/>
  </si>
  <si>
    <t>(d) An equity with spot price 300 that is expected to split 3 for 1 in 2 months. (Express the forward as a price per share.)</t>
    <phoneticPr fontId="3" type="noConversion"/>
  </si>
  <si>
    <t>(c) An equity with spot price 100 paying a 1.2% dividend continuously.</t>
  </si>
  <si>
    <t>coupon_rate</t>
    <phoneticPr fontId="3" type="noConversion"/>
  </si>
  <si>
    <t>N</t>
    <phoneticPr fontId="3" type="noConversion"/>
  </si>
  <si>
    <t>The bond pays cash flow at time 0.25, 0.75, 1.25. So we will receive cash flow at time 0.25 before the forward expires in 6 months.</t>
    <phoneticPr fontId="3" type="noConversion"/>
  </si>
  <si>
    <t>(b) A bond paying a 5% coupon semiannually with maturity 1.25 years, per 100 face.</t>
  </si>
  <si>
    <t>Tb</t>
    <phoneticPr fontId="3" type="noConversion"/>
  </si>
  <si>
    <t>(a) A zero-coupon bond with maturity nine months, per 100 face.</t>
  </si>
  <si>
    <t>months of the following assets:</t>
  </si>
  <si>
    <t>All rates are expressed with continuous compounding. Determine the forward price in 6</t>
  </si>
  <si>
    <t>5y</t>
    <phoneticPr fontId="3" type="noConversion"/>
  </si>
  <si>
    <t>4y</t>
    <phoneticPr fontId="3" type="noConversion"/>
  </si>
  <si>
    <t>3y</t>
    <phoneticPr fontId="3" type="noConversion"/>
  </si>
  <si>
    <t>2y</t>
    <phoneticPr fontId="3" type="noConversion"/>
  </si>
  <si>
    <t>21m</t>
    <phoneticPr fontId="3" type="noConversion"/>
  </si>
  <si>
    <t>18m</t>
    <phoneticPr fontId="3" type="noConversion"/>
  </si>
  <si>
    <t>15m</t>
    <phoneticPr fontId="3" type="noConversion"/>
  </si>
  <si>
    <t>1y</t>
    <phoneticPr fontId="3" type="noConversion"/>
  </si>
  <si>
    <t>9m</t>
    <phoneticPr fontId="3" type="noConversion"/>
  </si>
  <si>
    <t>6m</t>
    <phoneticPr fontId="3" type="noConversion"/>
  </si>
  <si>
    <t>3m</t>
    <phoneticPr fontId="3" type="noConversion"/>
  </si>
  <si>
    <t>discount_factor</t>
    <phoneticPr fontId="3" type="noConversion"/>
  </si>
  <si>
    <r>
      <t>2. An equity’s spot price S</t>
    </r>
    <r>
      <rPr>
        <sz val="8"/>
        <color theme="1"/>
        <rFont val="Times New Roman"/>
        <family val="1"/>
      </rPr>
      <t xml:space="preserve">0 </t>
    </r>
    <r>
      <rPr>
        <sz val="12"/>
        <color theme="1"/>
        <rFont val="Times New Roman"/>
        <family val="1"/>
      </rPr>
      <t>is 100 at the moment. Using other traded market instruments,</t>
    </r>
  </si>
  <si>
    <t>you have determined that the term structure of zero rates and equity forward prices is as</t>
  </si>
  <si>
    <t>follows:</t>
  </si>
  <si>
    <t>Ft</t>
    <phoneticPr fontId="3" type="noConversion"/>
  </si>
  <si>
    <t>(a) What is the term structure of dividend rates in each month implied by these values?</t>
  </si>
  <si>
    <t>(Express your answer as the continuously compounded dividend rate from now to 1m,</t>
  </si>
  <si>
    <t>from 1m to 2m, 2m to 3m, and so on.)</t>
  </si>
  <si>
    <t>1m</t>
    <phoneticPr fontId="3" type="noConversion"/>
  </si>
  <si>
    <t>2m</t>
    <phoneticPr fontId="3" type="noConversion"/>
  </si>
  <si>
    <t>4m</t>
  </si>
  <si>
    <t>5m</t>
  </si>
  <si>
    <t>6m</t>
  </si>
  <si>
    <t>(b) Suppose that the equity has an established record of paying its dividend, if any, at the</t>
  </si>
  <si>
    <t>end of each month, relative to the date for which you extracted this data. Under this</t>
    <phoneticPr fontId="3" type="noConversion"/>
  </si>
  <si>
    <t>assumption, what the is amount of the lump-sum cash dividend at the end of each month</t>
    <phoneticPr fontId="3" type="noConversion"/>
  </si>
  <si>
    <t>implied by this data? (Assume that the forward price as expressed here is after the</t>
  </si>
  <si>
    <t>payment of the fixed dividend.)</t>
  </si>
  <si>
    <t>k</t>
    <phoneticPr fontId="3" type="noConversion"/>
  </si>
  <si>
    <t>S(t-)</t>
    <phoneticPr fontId="3" type="noConversion"/>
  </si>
  <si>
    <t>cash_dividend</t>
    <phoneticPr fontId="3" type="noConversion"/>
  </si>
  <si>
    <t>As the dividend should be non-negative, the dividend at 2 month can be regarded as 0</t>
    <phoneticPr fontId="3" type="noConversion"/>
  </si>
  <si>
    <t>dividend rate(forward)</t>
    <phoneticPr fontId="3" type="noConversion"/>
  </si>
  <si>
    <t>here are only 2 periods</t>
  </si>
  <si>
    <t>you can change n and see more details in VBA code</t>
  </si>
  <si>
    <t xml:space="preserve">we have n periods in this simulation </t>
  </si>
  <si>
    <t>( 44.7547409292381,  19.7547409292381)</t>
  </si>
  <si>
    <t>( 30,  5)</t>
  </si>
  <si>
    <t>( 20.1096013810692,  0)</t>
  </si>
  <si>
    <t>( 36.6420827448051,  11.9526377324581,  1)</t>
  </si>
  <si>
    <t>( 24.5619225923395,  2.3771168750541,  .505540796953289)</t>
  </si>
  <si>
    <t>( 30,  6.9000142984963,  .792665058786455)</t>
  </si>
  <si>
    <t>( 44.7547409292381,  0)</t>
  </si>
  <si>
    <t>( 30,  0)</t>
  </si>
  <si>
    <t>( 20.1096013810692,  4.89039861893082)</t>
  </si>
  <si>
    <t>( 36.6420827448051,  0,  0)</t>
  </si>
  <si>
    <t>( 24.5619225923395,  2.50463929506168, -.494459203046711)</t>
  </si>
  <si>
    <t>( 30,  1.28276209920461, -.207334941213545)</t>
  </si>
  <si>
    <t>( 76.4232580161589,  35.4232580161589)</t>
  </si>
  <si>
    <t>( 50,  9)</t>
  </si>
  <si>
    <t>( 32.7125545926268,  0)</t>
  </si>
  <si>
    <t>( 61.8155554921894,  20.7761454796426,  20.8155554921894,  20.8155554921894,  1)</t>
  </si>
  <si>
    <t>( 40.4428946742359,  4.02253539029067,  0,  4.02253539029067,  .520609019315337)</t>
  </si>
  <si>
    <t>( 50,  11.5130922051245,  9,  11.5130922051245,  .785724353412853)</t>
  </si>
  <si>
    <t>( 76.4232580161589,  0)</t>
  </si>
  <si>
    <t>( 50,  2)</t>
  </si>
  <si>
    <t>( 32.7125545926268,  19.2874454073732)</t>
  </si>
  <si>
    <t>( 61.8155554921894,  1.09861729154042,  0,  1.09861729154042, -.075690893181186)</t>
  </si>
  <si>
    <t>( 40.4428946742359,  11.4886572704889,  11.5571053257641,  11.5571053257641, -1)</t>
  </si>
  <si>
    <t>( 50,  6.83944309058653,  2,  6.83944309058653, -.48933954098211)</t>
  </si>
  <si>
    <t>T (expiry time)</t>
    <phoneticPr fontId="3" type="noConversion"/>
  </si>
  <si>
    <t>cash flow at 0.25</t>
    <phoneticPr fontId="3" type="noConversion"/>
  </si>
  <si>
    <t>Adjusted S</t>
    <phoneticPr fontId="3" type="noConversion"/>
  </si>
  <si>
    <t>attribute</t>
    <phoneticPr fontId="3" type="noConversion"/>
  </si>
  <si>
    <t>attribute</t>
    <phoneticPr fontId="3" type="noConversion"/>
  </si>
  <si>
    <t xml:space="preserve">It is possible that the stock price jumps down in the future, then the price for a lower K will be higher than plain vanilla options, thus we have a higher implied volatility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</si>
</sst>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0_);[Red]\(0.0000\)"/>
  </numFmts>
  <fonts count="6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charset val="134"/>
      <scheme val="minor"/>
    </font>
    <font>
      <b/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Times New Roman"/>
      <family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Font="1"/>
    <xf numFmtId="0" fontId="0" fillId="2" borderId="0" xfId="0" applyFill="1"/>
    <xf numFmtId="0" fontId="0" fillId="3" borderId="0" xfId="0" applyFill="1"/>
    <xf numFmtId="0" fontId="4" fillId="0" borderId="0" xfId="1" applyFont="1"/>
    <xf numFmtId="0" fontId="4" fillId="2" borderId="1" xfId="1" applyFont="1" applyFill="1" applyBorder="1"/>
    <xf numFmtId="0" fontId="4" fillId="0" borderId="2" xfId="1" applyFont="1" applyBorder="1"/>
    <xf numFmtId="0" fontId="4" fillId="0" borderId="3" xfId="1" applyFont="1" applyBorder="1"/>
    <xf numFmtId="0" fontId="4" fillId="0" borderId="4" xfId="1" applyFont="1" applyBorder="1"/>
    <xf numFmtId="0" fontId="4" fillId="0" borderId="5" xfId="1" applyFont="1" applyBorder="1"/>
    <xf numFmtId="0" fontId="4" fillId="0" borderId="6" xfId="1" applyFont="1" applyBorder="1"/>
    <xf numFmtId="0" fontId="4" fillId="0" borderId="2" xfId="1" applyFont="1" applyFill="1" applyBorder="1"/>
    <xf numFmtId="14" fontId="4" fillId="0" borderId="4" xfId="1" applyNumberFormat="1" applyFont="1" applyBorder="1"/>
    <xf numFmtId="0" fontId="4" fillId="0" borderId="5" xfId="1" applyFont="1" applyBorder="1" applyAlignment="1">
      <alignment wrapText="1"/>
    </xf>
    <xf numFmtId="176" fontId="4" fillId="0" borderId="2" xfId="1" applyNumberFormat="1" applyFont="1" applyBorder="1"/>
    <xf numFmtId="176" fontId="4" fillId="0" borderId="0" xfId="1" applyNumberFormat="1" applyFont="1"/>
    <xf numFmtId="177" fontId="4" fillId="0" borderId="0" xfId="1" applyNumberFormat="1" applyFont="1"/>
    <xf numFmtId="0" fontId="4" fillId="2" borderId="0" xfId="1" applyFont="1" applyFill="1"/>
    <xf numFmtId="0" fontId="4" fillId="0" borderId="0" xfId="1" applyFont="1" applyFill="1"/>
    <xf numFmtId="0" fontId="4" fillId="3" borderId="0" xfId="1" applyFont="1" applyFill="1"/>
    <xf numFmtId="0" fontId="4" fillId="0" borderId="0" xfId="1" applyFont="1" applyAlignment="1">
      <alignment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vol skew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implied vol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'app2'!$B$100:$B$130</c:f>
              <c:numCache>
                <c:formatCode>General</c:formatCode>
                <c:ptCount val="3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</c:numCache>
            </c:numRef>
          </c:xVal>
          <c:yVal>
            <c:numRef>
              <c:f>'app2'!$G$100:$G$130</c:f>
              <c:numCache>
                <c:formatCode>General</c:formatCode>
                <c:ptCount val="31"/>
                <c:pt idx="0">
                  <c:v>0.35958196424715577</c:v>
                </c:pt>
                <c:pt idx="1">
                  <c:v>0.3471104752665396</c:v>
                </c:pt>
                <c:pt idx="2">
                  <c:v>0.33504116732007722</c:v>
                </c:pt>
                <c:pt idx="3">
                  <c:v>0.3237005091614234</c:v>
                </c:pt>
                <c:pt idx="4">
                  <c:v>0.31290155579433609</c:v>
                </c:pt>
                <c:pt idx="5">
                  <c:v>0.30231411513820106</c:v>
                </c:pt>
                <c:pt idx="6">
                  <c:v>0.2923368437781898</c:v>
                </c:pt>
                <c:pt idx="7">
                  <c:v>0.28373493809824968</c:v>
                </c:pt>
                <c:pt idx="8">
                  <c:v>0.27691176956370578</c:v>
                </c:pt>
                <c:pt idx="9">
                  <c:v>0.27176796683612603</c:v>
                </c:pt>
                <c:pt idx="10">
                  <c:v>0.26796297798868163</c:v>
                </c:pt>
                <c:pt idx="11">
                  <c:v>0.26514180959010553</c:v>
                </c:pt>
                <c:pt idx="12">
                  <c:v>0.26302143897144936</c:v>
                </c:pt>
                <c:pt idx="13">
                  <c:v>0.26139821509835004</c:v>
                </c:pt>
                <c:pt idx="14">
                  <c:v>0.26013099210307994</c:v>
                </c:pt>
                <c:pt idx="15">
                  <c:v>0.25912270083714856</c:v>
                </c:pt>
                <c:pt idx="16">
                  <c:v>0.25830613585826689</c:v>
                </c:pt>
                <c:pt idx="17">
                  <c:v>0.25763414338786916</c:v>
                </c:pt>
                <c:pt idx="18">
                  <c:v>0.25707309991813398</c:v>
                </c:pt>
                <c:pt idx="19">
                  <c:v>0.25659862086159235</c:v>
                </c:pt>
                <c:pt idx="20">
                  <c:v>0.25619264120001761</c:v>
                </c:pt>
                <c:pt idx="21">
                  <c:v>0.25584175989574803</c:v>
                </c:pt>
                <c:pt idx="22">
                  <c:v>0.25553567244906644</c:v>
                </c:pt>
                <c:pt idx="23">
                  <c:v>0.25526644874814181</c:v>
                </c:pt>
                <c:pt idx="24">
                  <c:v>0.25502788422865785</c:v>
                </c:pt>
                <c:pt idx="25">
                  <c:v>0.2548150643146444</c:v>
                </c:pt>
                <c:pt idx="26">
                  <c:v>0.25462405099231289</c:v>
                </c:pt>
                <c:pt idx="27">
                  <c:v>0.25445165371304362</c:v>
                </c:pt>
                <c:pt idx="28">
                  <c:v>0.25429525917366569</c:v>
                </c:pt>
                <c:pt idx="29">
                  <c:v>0.25415289532092233</c:v>
                </c:pt>
                <c:pt idx="30">
                  <c:v>0.25402253845303957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81-4419-B213-18E27DCD0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3415488"/>
        <c:axId val="-1584384544"/>
      </c:scatterChart>
      <c:valAx>
        <c:axId val="-158341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strike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84384544"/>
        <c:crosses val="autoZero"/>
        <c:crossBetween val="midCat"/>
      </c:valAx>
      <c:valAx>
        <c:axId val="-1584384544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implied</a:t>
                </a:r>
                <a:r>
                  <a:rPr lang="en-US" altLang="zh-CN" baseline="0"/>
                  <a:t> vol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8341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5.tmp"/><Relationship Id="rId1" Type="http://schemas.openxmlformats.org/officeDocument/2006/relationships/image" Target="../media/image4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127312</xdr:colOff>
      <xdr:row>28</xdr:row>
      <xdr:rowOff>133613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E5B7AD1-2BF5-4144-A39C-CB329092A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70912" cy="51120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70125</xdr:colOff>
      <xdr:row>31</xdr:row>
      <xdr:rowOff>139990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D89D4C1E-8C05-44E9-B3A1-297610FBA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53325" cy="5651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12</xdr:col>
      <xdr:colOff>502920</xdr:colOff>
      <xdr:row>57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365760"/>
          <a:ext cx="7543800" cy="10058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</xdr:colOff>
      <xdr:row>54</xdr:row>
      <xdr:rowOff>15240</xdr:rowOff>
    </xdr:from>
    <xdr:ext cx="5319221" cy="5037257"/>
    <xdr:pic>
      <xdr:nvPicPr>
        <xdr:cNvPr id="2" name="图片 1" descr="屏幕剪辑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9479280"/>
          <a:ext cx="5319221" cy="5037257"/>
        </a:xfrm>
        <a:prstGeom prst="rect">
          <a:avLst/>
        </a:prstGeom>
      </xdr:spPr>
    </xdr:pic>
    <xdr:clientData/>
  </xdr:oneCellAnchor>
  <xdr:oneCellAnchor>
    <xdr:from>
      <xdr:col>0</xdr:col>
      <xdr:colOff>335280</xdr:colOff>
      <xdr:row>82</xdr:row>
      <xdr:rowOff>160020</xdr:rowOff>
    </xdr:from>
    <xdr:ext cx="5006774" cy="1928035"/>
    <xdr:pic>
      <xdr:nvPicPr>
        <xdr:cNvPr id="3" name="图片 2" descr="屏幕剪辑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528"/>
        <a:stretch/>
      </xdr:blipFill>
      <xdr:spPr>
        <a:xfrm>
          <a:off x="335280" y="14531340"/>
          <a:ext cx="5006774" cy="1928035"/>
        </a:xfrm>
        <a:prstGeom prst="rect">
          <a:avLst/>
        </a:prstGeom>
      </xdr:spPr>
    </xdr:pic>
    <xdr:clientData/>
  </xdr:oneCellAnchor>
  <xdr:twoCellAnchor>
    <xdr:from>
      <xdr:col>7</xdr:col>
      <xdr:colOff>381000</xdr:colOff>
      <xdr:row>102</xdr:row>
      <xdr:rowOff>121920</xdr:rowOff>
    </xdr:from>
    <xdr:to>
      <xdr:col>15</xdr:col>
      <xdr:colOff>76200</xdr:colOff>
      <xdr:row>118</xdr:row>
      <xdr:rowOff>60960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50"/>
  <sheetViews>
    <sheetView tabSelected="1" workbookViewId="0">
      <selection activeCell="K28" sqref="K28"/>
    </sheetView>
  </sheetViews>
  <sheetFormatPr defaultColWidth="10.77734375" defaultRowHeight="15.6" x14ac:dyDescent="0.3"/>
  <cols>
    <col min="1" max="1" width="13.109375" style="5" customWidth="1"/>
    <col min="2" max="2" width="13" style="5" customWidth="1"/>
    <col min="3" max="3" width="14.109375" style="5" customWidth="1"/>
    <col min="4" max="4" width="15.33203125" style="5" customWidth="1"/>
    <col min="5" max="16384" width="10.77734375" style="5"/>
  </cols>
  <sheetData>
    <row r="2" spans="1:4" x14ac:dyDescent="0.3">
      <c r="B2" s="5" t="s">
        <v>64</v>
      </c>
      <c r="C2" s="5" t="s">
        <v>52</v>
      </c>
      <c r="D2" s="5" t="s">
        <v>88</v>
      </c>
    </row>
    <row r="3" spans="1:4" x14ac:dyDescent="0.3">
      <c r="A3" s="16">
        <v>0.25</v>
      </c>
      <c r="B3" s="5" t="s">
        <v>87</v>
      </c>
      <c r="C3" s="5">
        <v>2.5000000000000001E-2</v>
      </c>
      <c r="D3" s="5">
        <f t="shared" ref="D3:D13" si="0">EXP(-C3*A3)</f>
        <v>0.9937694906233947</v>
      </c>
    </row>
    <row r="4" spans="1:4" x14ac:dyDescent="0.3">
      <c r="A4" s="16">
        <v>0.5</v>
      </c>
      <c r="B4" s="5" t="s">
        <v>86</v>
      </c>
      <c r="C4" s="5">
        <v>2.7E-2</v>
      </c>
      <c r="D4" s="5">
        <f t="shared" si="0"/>
        <v>0.98659071631773265</v>
      </c>
    </row>
    <row r="5" spans="1:4" x14ac:dyDescent="0.3">
      <c r="A5" s="16">
        <v>0.75</v>
      </c>
      <c r="B5" s="5" t="s">
        <v>85</v>
      </c>
      <c r="C5" s="5">
        <v>0.03</v>
      </c>
      <c r="D5" s="5">
        <f t="shared" si="0"/>
        <v>0.97775123719333634</v>
      </c>
    </row>
    <row r="6" spans="1:4" x14ac:dyDescent="0.3">
      <c r="A6" s="16">
        <v>1</v>
      </c>
      <c r="B6" s="5" t="s">
        <v>84</v>
      </c>
      <c r="C6" s="5">
        <v>2.8500000000000001E-2</v>
      </c>
      <c r="D6" s="5">
        <f t="shared" si="0"/>
        <v>0.9719022941461366</v>
      </c>
    </row>
    <row r="7" spans="1:4" x14ac:dyDescent="0.3">
      <c r="A7" s="16">
        <v>1.25</v>
      </c>
      <c r="B7" s="5" t="s">
        <v>83</v>
      </c>
      <c r="C7" s="5">
        <v>2.9499999999999998E-2</v>
      </c>
      <c r="D7" s="5">
        <f t="shared" si="0"/>
        <v>0.96379660239500564</v>
      </c>
    </row>
    <row r="8" spans="1:4" x14ac:dyDescent="0.3">
      <c r="A8" s="16">
        <v>1.5</v>
      </c>
      <c r="B8" s="5" t="s">
        <v>82</v>
      </c>
      <c r="C8" s="5">
        <v>0.03</v>
      </c>
      <c r="D8" s="5">
        <f t="shared" si="0"/>
        <v>0.95599748183309996</v>
      </c>
    </row>
    <row r="9" spans="1:4" x14ac:dyDescent="0.3">
      <c r="A9" s="16">
        <v>1.75</v>
      </c>
      <c r="B9" s="5" t="s">
        <v>81</v>
      </c>
      <c r="C9" s="5">
        <v>3.0499999999999999E-2</v>
      </c>
      <c r="D9" s="5">
        <f t="shared" si="0"/>
        <v>0.94802443665225233</v>
      </c>
    </row>
    <row r="10" spans="1:4" x14ac:dyDescent="0.3">
      <c r="A10" s="16">
        <v>2</v>
      </c>
      <c r="B10" s="5" t="s">
        <v>80</v>
      </c>
      <c r="C10" s="5">
        <v>3.1E-2</v>
      </c>
      <c r="D10" s="5">
        <f t="shared" si="0"/>
        <v>0.93988288679108889</v>
      </c>
    </row>
    <row r="11" spans="1:4" x14ac:dyDescent="0.3">
      <c r="A11" s="16">
        <v>3</v>
      </c>
      <c r="B11" s="5" t="s">
        <v>79</v>
      </c>
      <c r="C11" s="5">
        <v>0.04</v>
      </c>
      <c r="D11" s="5">
        <f t="shared" si="0"/>
        <v>0.88692043671715748</v>
      </c>
    </row>
    <row r="12" spans="1:4" x14ac:dyDescent="0.3">
      <c r="A12" s="16">
        <v>4</v>
      </c>
      <c r="B12" s="5" t="s">
        <v>78</v>
      </c>
      <c r="C12" s="5">
        <v>4.65E-2</v>
      </c>
      <c r="D12" s="5">
        <f t="shared" si="0"/>
        <v>0.83027359498193265</v>
      </c>
    </row>
    <row r="13" spans="1:4" x14ac:dyDescent="0.3">
      <c r="A13" s="16">
        <v>5</v>
      </c>
      <c r="B13" s="5" t="s">
        <v>77</v>
      </c>
      <c r="C13" s="5">
        <v>0.05</v>
      </c>
      <c r="D13" s="5">
        <f t="shared" si="0"/>
        <v>0.77880078307140488</v>
      </c>
    </row>
    <row r="15" spans="1:4" x14ac:dyDescent="0.3">
      <c r="A15" s="5" t="s">
        <v>76</v>
      </c>
    </row>
    <row r="16" spans="1:4" x14ac:dyDescent="0.3">
      <c r="A16" s="5" t="s">
        <v>75</v>
      </c>
    </row>
    <row r="17" spans="1:7" s="20" customFormat="1" x14ac:dyDescent="0.3">
      <c r="A17" s="20" t="s">
        <v>74</v>
      </c>
    </row>
    <row r="19" spans="1:7" x14ac:dyDescent="0.3">
      <c r="A19" s="11" t="s">
        <v>73</v>
      </c>
      <c r="B19" s="10" t="s">
        <v>49</v>
      </c>
      <c r="C19" s="10" t="s">
        <v>70</v>
      </c>
      <c r="D19" s="9" t="s">
        <v>54</v>
      </c>
    </row>
    <row r="20" spans="1:7" x14ac:dyDescent="0.3">
      <c r="A20" s="8">
        <v>0.75</v>
      </c>
      <c r="B20" s="7">
        <v>0.5</v>
      </c>
      <c r="C20" s="7">
        <v>100</v>
      </c>
      <c r="D20" s="6">
        <f>C20*D5/D4</f>
        <v>99.104037877288363</v>
      </c>
    </row>
    <row r="23" spans="1:7" s="20" customFormat="1" x14ac:dyDescent="0.3">
      <c r="A23" s="20" t="s">
        <v>72</v>
      </c>
    </row>
    <row r="25" spans="1:7" x14ac:dyDescent="0.3">
      <c r="A25" s="5" t="s">
        <v>71</v>
      </c>
    </row>
    <row r="27" spans="1:7" x14ac:dyDescent="0.3">
      <c r="A27" s="11" t="s">
        <v>138</v>
      </c>
      <c r="B27" s="10" t="s">
        <v>70</v>
      </c>
      <c r="C27" s="10" t="s">
        <v>69</v>
      </c>
      <c r="D27" s="10" t="s">
        <v>139</v>
      </c>
      <c r="E27" s="10" t="s">
        <v>53</v>
      </c>
      <c r="F27" s="10" t="s">
        <v>140</v>
      </c>
      <c r="G27" s="9" t="s">
        <v>54</v>
      </c>
    </row>
    <row r="28" spans="1:7" x14ac:dyDescent="0.3">
      <c r="A28" s="8">
        <v>0.5</v>
      </c>
      <c r="B28" s="7">
        <v>100</v>
      </c>
      <c r="C28" s="7">
        <v>0.05</v>
      </c>
      <c r="D28" s="7">
        <f>C28/2*B28</f>
        <v>2.5</v>
      </c>
      <c r="E28" s="7">
        <f>B28*EXP(-A7*C7)+D28*EXP(-A7*C7)+D28*EXP(-A5*C5)+D28*EXP(-A3*C3)</f>
        <v>103.71795356502992</v>
      </c>
      <c r="F28" s="15">
        <f>E28-D28*EXP(-A3*C3)</f>
        <v>101.23352983847143</v>
      </c>
      <c r="G28" s="6">
        <f>F28*EXP(A4*C4)</f>
        <v>102.60944904925404</v>
      </c>
    </row>
    <row r="31" spans="1:7" s="20" customFormat="1" x14ac:dyDescent="0.3">
      <c r="A31" s="20" t="s">
        <v>68</v>
      </c>
    </row>
    <row r="33" spans="1:5" x14ac:dyDescent="0.3">
      <c r="A33" s="11" t="s">
        <v>65</v>
      </c>
      <c r="B33" s="10" t="s">
        <v>51</v>
      </c>
      <c r="C33" s="9" t="s">
        <v>54</v>
      </c>
    </row>
    <row r="34" spans="1:5" x14ac:dyDescent="0.3">
      <c r="A34" s="8">
        <v>100</v>
      </c>
      <c r="B34" s="7">
        <v>1.2E-2</v>
      </c>
      <c r="C34" s="6">
        <f>A34*EXP((C4-B34)*A4)</f>
        <v>100.75281954445339</v>
      </c>
    </row>
    <row r="37" spans="1:5" s="20" customFormat="1" x14ac:dyDescent="0.3">
      <c r="A37" s="20" t="s">
        <v>67</v>
      </c>
    </row>
    <row r="39" spans="1:5" x14ac:dyDescent="0.3">
      <c r="A39" s="5" t="s">
        <v>66</v>
      </c>
    </row>
    <row r="40" spans="1:5" ht="46.8" x14ac:dyDescent="0.3">
      <c r="A40" s="11" t="s">
        <v>65</v>
      </c>
      <c r="B40" s="10" t="s">
        <v>64</v>
      </c>
      <c r="C40" s="14" t="s">
        <v>63</v>
      </c>
      <c r="D40" s="14" t="s">
        <v>62</v>
      </c>
      <c r="E40" s="13" t="s">
        <v>54</v>
      </c>
    </row>
    <row r="41" spans="1:5" x14ac:dyDescent="0.3">
      <c r="A41" s="8">
        <v>300</v>
      </c>
      <c r="B41" s="7">
        <f>2/12</f>
        <v>0.16666666666666666</v>
      </c>
      <c r="C41" s="7">
        <f>A41*EXP(C3*B41)</f>
        <v>301.25260778733553</v>
      </c>
      <c r="D41" s="12">
        <f>C41/3</f>
        <v>100.41753592911185</v>
      </c>
      <c r="E41" s="6">
        <f>D41*EXP(-C3*B41)*EXP(C4*A4)</f>
        <v>101.35915364502061</v>
      </c>
    </row>
    <row r="44" spans="1:5" s="20" customFormat="1" x14ac:dyDescent="0.3">
      <c r="A44" s="20" t="s">
        <v>61</v>
      </c>
    </row>
    <row r="45" spans="1:5" x14ac:dyDescent="0.3">
      <c r="A45" s="5" t="s">
        <v>60</v>
      </c>
    </row>
    <row r="46" spans="1:5" x14ac:dyDescent="0.3">
      <c r="A46" s="5" t="s">
        <v>59</v>
      </c>
    </row>
    <row r="47" spans="1:5" x14ac:dyDescent="0.3">
      <c r="A47" s="5" t="s">
        <v>58</v>
      </c>
    </row>
    <row r="49" spans="1:5" x14ac:dyDescent="0.3">
      <c r="A49" s="11" t="s">
        <v>57</v>
      </c>
      <c r="B49" s="10" t="s">
        <v>56</v>
      </c>
      <c r="C49" s="10" t="s">
        <v>55</v>
      </c>
      <c r="D49" s="10" t="s">
        <v>49</v>
      </c>
      <c r="E49" s="9" t="s">
        <v>54</v>
      </c>
    </row>
    <row r="50" spans="1:5" x14ac:dyDescent="0.3">
      <c r="A50" s="8">
        <v>2.1999999999999999E-2</v>
      </c>
      <c r="B50" s="7">
        <f>C4</f>
        <v>2.7E-2</v>
      </c>
      <c r="C50" s="7">
        <f>1.2</f>
        <v>1.2</v>
      </c>
      <c r="D50" s="7">
        <v>0.5</v>
      </c>
      <c r="E50" s="6">
        <f>C50*EXP((B50-A50)*D50)</f>
        <v>1.2030037531269542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1"/>
  <sheetViews>
    <sheetView topLeftCell="A18" zoomScale="125" workbookViewId="0">
      <selection activeCell="G44" sqref="G44"/>
    </sheetView>
  </sheetViews>
  <sheetFormatPr defaultColWidth="10.77734375" defaultRowHeight="15.6" x14ac:dyDescent="0.3"/>
  <cols>
    <col min="1" max="3" width="10.77734375" style="5"/>
    <col min="4" max="4" width="13.77734375" style="5" customWidth="1"/>
    <col min="5" max="5" width="13.6640625" style="5" bestFit="1" customWidth="1"/>
    <col min="6" max="6" width="10.77734375" style="5" customWidth="1"/>
    <col min="7" max="7" width="12.109375" style="5" customWidth="1"/>
    <col min="8" max="16384" width="10.77734375" style="5"/>
  </cols>
  <sheetData>
    <row r="1" spans="1:4" x14ac:dyDescent="0.3">
      <c r="A1" s="5" t="s">
        <v>89</v>
      </c>
    </row>
    <row r="2" spans="1:4" x14ac:dyDescent="0.3">
      <c r="A2" s="5" t="s">
        <v>90</v>
      </c>
    </row>
    <row r="3" spans="1:4" x14ac:dyDescent="0.3">
      <c r="A3" s="5" t="s">
        <v>91</v>
      </c>
    </row>
    <row r="4" spans="1:4" x14ac:dyDescent="0.3">
      <c r="B4" s="5" t="s">
        <v>64</v>
      </c>
      <c r="C4" s="5" t="s">
        <v>52</v>
      </c>
      <c r="D4" s="5" t="s">
        <v>92</v>
      </c>
    </row>
    <row r="5" spans="1:4" x14ac:dyDescent="0.3">
      <c r="B5" s="17">
        <f>1/12</f>
        <v>8.3333333333333329E-2</v>
      </c>
      <c r="C5" s="5">
        <v>0.02</v>
      </c>
      <c r="D5" s="5">
        <v>100.06251949999999</v>
      </c>
    </row>
    <row r="6" spans="1:4" x14ac:dyDescent="0.3">
      <c r="B6" s="5">
        <f>2/12</f>
        <v>0.16666666666666666</v>
      </c>
      <c r="C6" s="5">
        <v>2.1999999999999999E-2</v>
      </c>
      <c r="D6" s="5">
        <v>100.2628448</v>
      </c>
    </row>
    <row r="7" spans="1:4" x14ac:dyDescent="0.3">
      <c r="B7" s="5">
        <f>3/12</f>
        <v>0.25</v>
      </c>
      <c r="C7" s="5">
        <v>2.2499999999999999E-2</v>
      </c>
      <c r="D7" s="5">
        <v>100.38825180000001</v>
      </c>
    </row>
    <row r="8" spans="1:4" x14ac:dyDescent="0.3">
      <c r="B8" s="5">
        <f>4/12</f>
        <v>0.33333333333333331</v>
      </c>
      <c r="C8" s="5">
        <v>2.4500000000000001E-2</v>
      </c>
      <c r="D8" s="5">
        <v>100.59342049999999</v>
      </c>
    </row>
    <row r="9" spans="1:4" x14ac:dyDescent="0.3">
      <c r="B9" s="5">
        <f>5/12</f>
        <v>0.41666666666666669</v>
      </c>
      <c r="C9" s="5">
        <v>2.5000000000000001E-2</v>
      </c>
      <c r="D9" s="5">
        <v>100.8200105</v>
      </c>
    </row>
    <row r="10" spans="1:4" x14ac:dyDescent="0.3">
      <c r="B10" s="5">
        <f>6/12</f>
        <v>0.5</v>
      </c>
      <c r="C10" s="5">
        <v>2.5999999999999999E-2</v>
      </c>
      <c r="D10" s="5">
        <v>101.07321810000001</v>
      </c>
    </row>
    <row r="13" spans="1:4" x14ac:dyDescent="0.3">
      <c r="A13" s="5" t="s">
        <v>93</v>
      </c>
    </row>
    <row r="14" spans="1:4" x14ac:dyDescent="0.3">
      <c r="A14" s="5" t="s">
        <v>94</v>
      </c>
    </row>
    <row r="15" spans="1:4" x14ac:dyDescent="0.3">
      <c r="A15" s="5" t="s">
        <v>95</v>
      </c>
    </row>
    <row r="17" spans="1:6" x14ac:dyDescent="0.3">
      <c r="A17" s="5" t="s">
        <v>53</v>
      </c>
      <c r="B17" s="5">
        <v>100</v>
      </c>
    </row>
    <row r="18" spans="1:6" ht="31.2" x14ac:dyDescent="0.3">
      <c r="B18" s="5" t="s">
        <v>64</v>
      </c>
      <c r="C18" s="5" t="s">
        <v>52</v>
      </c>
      <c r="D18" s="5" t="s">
        <v>92</v>
      </c>
      <c r="E18" s="21" t="s">
        <v>110</v>
      </c>
    </row>
    <row r="19" spans="1:6" x14ac:dyDescent="0.3">
      <c r="A19" s="5" t="s">
        <v>96</v>
      </c>
      <c r="B19" s="17">
        <f>1/12</f>
        <v>8.3333333333333329E-2</v>
      </c>
      <c r="C19" s="5">
        <v>0.02</v>
      </c>
      <c r="D19" s="5">
        <v>100.06251949999999</v>
      </c>
      <c r="E19" s="18">
        <f>C19-1/B19*LN(D19/$B$17)</f>
        <v>1.2500004235709135E-2</v>
      </c>
      <c r="F19" s="19">
        <f t="shared" ref="F19:F24" si="0">C19-1/B19*LN(D19/$B$17)</f>
        <v>1.2500004235709135E-2</v>
      </c>
    </row>
    <row r="20" spans="1:6" x14ac:dyDescent="0.3">
      <c r="A20" s="5" t="s">
        <v>97</v>
      </c>
      <c r="B20" s="5">
        <f>2/12</f>
        <v>0.16666666666666666</v>
      </c>
      <c r="C20" s="5">
        <v>2.1999999999999999E-2</v>
      </c>
      <c r="D20" s="5">
        <v>100.2628448</v>
      </c>
      <c r="E20" s="18">
        <f>1/(B20-B19)*(C20*B20-E19*B19-LN(D20/$B$17))</f>
        <v>-2.9652972785565446E-10</v>
      </c>
      <c r="F20" s="19">
        <f t="shared" si="0"/>
        <v>6.2500019695897052E-3</v>
      </c>
    </row>
    <row r="21" spans="1:6" x14ac:dyDescent="0.3">
      <c r="A21" s="5" t="s">
        <v>87</v>
      </c>
      <c r="B21" s="5">
        <f>3/12</f>
        <v>0.25</v>
      </c>
      <c r="C21" s="5">
        <v>2.2499999999999999E-2</v>
      </c>
      <c r="D21" s="5">
        <v>100.38825180000001</v>
      </c>
      <c r="E21" s="18">
        <f>1/(B21-B20)*(C21*B21-E20*B19-E19*B19-LN(D21/$B$17))</f>
        <v>8.4999903170345954E-3</v>
      </c>
      <c r="F21" s="19">
        <f t="shared" si="0"/>
        <v>6.999998085404668E-3</v>
      </c>
    </row>
    <row r="22" spans="1:6" x14ac:dyDescent="0.3">
      <c r="A22" s="5" t="s">
        <v>98</v>
      </c>
      <c r="B22" s="5">
        <f>4/12</f>
        <v>0.33333333333333331</v>
      </c>
      <c r="C22" s="5">
        <v>2.4500000000000001E-2</v>
      </c>
      <c r="D22" s="5">
        <v>100.59342049999999</v>
      </c>
      <c r="E22" s="18">
        <f>1/(B22-B21)*(C22*B22-(SUM($E$19:E21))*$B$19-LN(D22/$B$17))</f>
        <v>6.0000022932407294E-3</v>
      </c>
      <c r="F22" s="19">
        <f t="shared" si="0"/>
        <v>6.749999137363686E-3</v>
      </c>
    </row>
    <row r="23" spans="1:6" x14ac:dyDescent="0.3">
      <c r="A23" s="5" t="s">
        <v>99</v>
      </c>
      <c r="B23" s="5">
        <f>5/12</f>
        <v>0.41666666666666669</v>
      </c>
      <c r="C23" s="5">
        <v>2.5000000000000001E-2</v>
      </c>
      <c r="D23" s="5">
        <v>100.8200105</v>
      </c>
      <c r="E23" s="18">
        <f>1/(B23-B22)*(C23*B23-(SUM($E$19:E22))*$B$19-LN(D23/$B$17))</f>
        <v>1.7018559061998664E-9</v>
      </c>
      <c r="F23" s="19">
        <f t="shared" si="0"/>
        <v>5.3999996502621245E-3</v>
      </c>
    </row>
    <row r="24" spans="1:6" x14ac:dyDescent="0.3">
      <c r="A24" s="5" t="s">
        <v>100</v>
      </c>
      <c r="B24" s="5">
        <f>6/12</f>
        <v>0.5</v>
      </c>
      <c r="C24" s="5">
        <v>2.5999999999999999E-2</v>
      </c>
      <c r="D24" s="5">
        <v>101.07321810000001</v>
      </c>
      <c r="E24" s="18">
        <f>1/(B24-B23)*(C24*B24-(SUM($E$19:E23))*$B$19-LN(D24/$B$17))</f>
        <v>9.0000294526980406E-4</v>
      </c>
      <c r="F24" s="19">
        <f t="shared" si="0"/>
        <v>4.6500001994300745E-3</v>
      </c>
    </row>
    <row r="28" spans="1:6" x14ac:dyDescent="0.3">
      <c r="A28" s="5" t="s">
        <v>101</v>
      </c>
    </row>
    <row r="29" spans="1:6" x14ac:dyDescent="0.3">
      <c r="A29" s="5" t="s">
        <v>102</v>
      </c>
    </row>
    <row r="30" spans="1:6" x14ac:dyDescent="0.3">
      <c r="A30" s="5" t="s">
        <v>103</v>
      </c>
    </row>
    <row r="31" spans="1:6" x14ac:dyDescent="0.3">
      <c r="A31" s="5" t="s">
        <v>104</v>
      </c>
    </row>
    <row r="32" spans="1:6" x14ac:dyDescent="0.3">
      <c r="A32" s="5" t="s">
        <v>105</v>
      </c>
    </row>
    <row r="34" spans="1:8" x14ac:dyDescent="0.3">
      <c r="A34" s="5" t="s">
        <v>53</v>
      </c>
      <c r="B34" s="5">
        <v>100</v>
      </c>
    </row>
    <row r="35" spans="1:8" x14ac:dyDescent="0.3">
      <c r="B35" s="5" t="s">
        <v>64</v>
      </c>
      <c r="C35" s="5" t="s">
        <v>52</v>
      </c>
      <c r="D35" s="5" t="s">
        <v>92</v>
      </c>
      <c r="E35" s="5" t="s">
        <v>106</v>
      </c>
      <c r="F35" s="5" t="s">
        <v>107</v>
      </c>
      <c r="G35" s="5" t="s">
        <v>108</v>
      </c>
    </row>
    <row r="36" spans="1:8" x14ac:dyDescent="0.3">
      <c r="A36" s="5" t="s">
        <v>96</v>
      </c>
      <c r="B36" s="17">
        <f>1/12</f>
        <v>8.3333333333333329E-2</v>
      </c>
      <c r="C36" s="5">
        <v>0.02</v>
      </c>
      <c r="D36" s="5">
        <v>100.06251949999999</v>
      </c>
      <c r="E36" s="5">
        <f>1-D36/$B$34 * EXP(-C36*B36)</f>
        <v>1.0411246728837531E-3</v>
      </c>
      <c r="F36" s="5">
        <f t="shared" ref="F36" si="1">$B$34*EXP(C36*B36)</f>
        <v>100.16680563274821</v>
      </c>
      <c r="G36" s="18">
        <f t="shared" ref="G36:G41" si="2">E36*F36</f>
        <v>0.10428613274820546</v>
      </c>
    </row>
    <row r="37" spans="1:8" x14ac:dyDescent="0.3">
      <c r="A37" s="5" t="s">
        <v>97</v>
      </c>
      <c r="B37" s="5">
        <f>2/12</f>
        <v>0.16666666666666666</v>
      </c>
      <c r="C37" s="5">
        <v>2.1999999999999999E-2</v>
      </c>
      <c r="D37" s="5">
        <v>100.2628448</v>
      </c>
      <c r="E37" s="5">
        <f>1-D37/$B$34 * EXP(-C37*B37)/(1-E36)</f>
        <v>-2.4710899992896884E-11</v>
      </c>
      <c r="F37" s="5">
        <f>D36*EXP(C37*B37)/EXP(C36*B36)</f>
        <v>100.26284479752243</v>
      </c>
      <c r="G37" s="18">
        <f t="shared" si="2"/>
        <v>-2.4775851307949184E-9</v>
      </c>
      <c r="H37" s="5" t="s">
        <v>109</v>
      </c>
    </row>
    <row r="38" spans="1:8" x14ac:dyDescent="0.3">
      <c r="A38" s="5" t="s">
        <v>87</v>
      </c>
      <c r="B38" s="5">
        <f>3/12</f>
        <v>0.25</v>
      </c>
      <c r="C38" s="5">
        <v>2.2499999999999999E-2</v>
      </c>
      <c r="D38" s="5">
        <v>100.38825180000001</v>
      </c>
      <c r="E38" s="5">
        <f>1-D38/$B$34*EXP(-C38*B38)/((1-E36)*(1-E37))</f>
        <v>7.0808171815772702E-4</v>
      </c>
      <c r="F38" s="5">
        <f t="shared" ref="F38:F41" si="3">D37*EXP(C38*B38)/EXP(C37*B37)</f>
        <v>100.4593852541158</v>
      </c>
      <c r="G38" s="18">
        <f t="shared" si="2"/>
        <v>7.1133454115803338E-2</v>
      </c>
    </row>
    <row r="39" spans="1:8" x14ac:dyDescent="0.3">
      <c r="A39" s="5" t="s">
        <v>98</v>
      </c>
      <c r="B39" s="5">
        <f>4/12</f>
        <v>0.33333333333333331</v>
      </c>
      <c r="C39" s="5">
        <v>2.4500000000000001E-2</v>
      </c>
      <c r="D39" s="5">
        <v>100.59342049999999</v>
      </c>
      <c r="E39" s="5">
        <f>1-D39/$B$34*EXP(-C39*B39)/((1-E37)*(1-E38)*(1-E36))</f>
        <v>4.9987521183858519E-4</v>
      </c>
      <c r="F39" s="5">
        <f t="shared" si="3"/>
        <v>100.64372980575686</v>
      </c>
      <c r="G39" s="18">
        <f t="shared" si="2"/>
        <v>5.0309305756878045E-2</v>
      </c>
    </row>
    <row r="40" spans="1:8" x14ac:dyDescent="0.3">
      <c r="A40" s="5" t="s">
        <v>99</v>
      </c>
      <c r="B40" s="5">
        <f>5/12</f>
        <v>0.41666666666666669</v>
      </c>
      <c r="C40" s="5">
        <v>2.5000000000000001E-2</v>
      </c>
      <c r="D40" s="5">
        <v>100.8200105</v>
      </c>
      <c r="E40" s="5">
        <f>1-D40/$B$34*EXP(-C40*B40)/((1-E38)*(1-E39)*(1-E37)*(1-E36))</f>
        <v>1.4182144347785197E-10</v>
      </c>
      <c r="F40" s="5">
        <f t="shared" si="3"/>
        <v>100.82001051429843</v>
      </c>
      <c r="G40" s="18">
        <f t="shared" si="2"/>
        <v>1.4298439422590016E-8</v>
      </c>
    </row>
    <row r="41" spans="1:8" x14ac:dyDescent="0.3">
      <c r="A41" s="5" t="s">
        <v>100</v>
      </c>
      <c r="B41" s="5">
        <f>6/12</f>
        <v>0.5</v>
      </c>
      <c r="C41" s="5">
        <v>2.5999999999999999E-2</v>
      </c>
      <c r="D41" s="5">
        <v>101.07321810000001</v>
      </c>
      <c r="E41" s="5">
        <f>1-D41/$B$34*EXP(-C41*B41)/((1-E39)*(1-E40)*(1-E38)*(1-E37)*(1-E36))</f>
        <v>7.4997432990886459E-5</v>
      </c>
      <c r="F41" s="5">
        <f t="shared" si="3"/>
        <v>101.08079890044222</v>
      </c>
      <c r="G41" s="18">
        <f t="shared" si="2"/>
        <v>7.5808004422011849E-3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0"/>
  <sheetViews>
    <sheetView workbookViewId="0">
      <selection activeCell="A9" sqref="A9"/>
    </sheetView>
  </sheetViews>
  <sheetFormatPr defaultColWidth="8.77734375" defaultRowHeight="13.8" x14ac:dyDescent="0.25"/>
  <cols>
    <col min="1" max="1" width="41.6640625" customWidth="1"/>
    <col min="2" max="2" width="51.44140625" customWidth="1"/>
    <col min="7" max="7" width="2.44140625" customWidth="1"/>
  </cols>
  <sheetData>
    <row r="1" spans="1:9" x14ac:dyDescent="0.25">
      <c r="A1" s="1" t="s">
        <v>10</v>
      </c>
    </row>
    <row r="3" spans="1: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H3" t="s">
        <v>7</v>
      </c>
      <c r="I3" t="s">
        <v>113</v>
      </c>
    </row>
    <row r="4" spans="1:9" x14ac:dyDescent="0.25">
      <c r="A4">
        <v>30</v>
      </c>
      <c r="B4">
        <v>0.05</v>
      </c>
      <c r="C4">
        <v>0</v>
      </c>
      <c r="D4">
        <v>0.5</v>
      </c>
      <c r="E4">
        <v>0.4</v>
      </c>
      <c r="F4">
        <v>25</v>
      </c>
      <c r="H4">
        <v>2</v>
      </c>
      <c r="I4" t="s">
        <v>111</v>
      </c>
    </row>
    <row r="5" spans="1:9" x14ac:dyDescent="0.25">
      <c r="A5" s="1" t="s">
        <v>8</v>
      </c>
      <c r="I5" t="s">
        <v>112</v>
      </c>
    </row>
    <row r="7" spans="1:9" x14ac:dyDescent="0.25">
      <c r="A7" s="1" t="s">
        <v>6</v>
      </c>
    </row>
    <row r="8" spans="1:9" x14ac:dyDescent="0.25">
      <c r="A8" t="s">
        <v>119</v>
      </c>
      <c r="B8" t="s">
        <v>117</v>
      </c>
      <c r="C8" t="s">
        <v>114</v>
      </c>
    </row>
    <row r="9" spans="1:9" x14ac:dyDescent="0.25">
      <c r="B9" t="s">
        <v>118</v>
      </c>
      <c r="C9" t="s">
        <v>115</v>
      </c>
    </row>
    <row r="10" spans="1:9" x14ac:dyDescent="0.25">
      <c r="C10" t="s">
        <v>116</v>
      </c>
    </row>
    <row r="11" spans="1:9" x14ac:dyDescent="0.25">
      <c r="A11" s="1" t="s">
        <v>9</v>
      </c>
    </row>
    <row r="12" spans="1:9" x14ac:dyDescent="0.25">
      <c r="A12" t="s">
        <v>125</v>
      </c>
      <c r="B12" t="s">
        <v>123</v>
      </c>
      <c r="C12" t="s">
        <v>120</v>
      </c>
    </row>
    <row r="13" spans="1:9" x14ac:dyDescent="0.25">
      <c r="B13" t="s">
        <v>124</v>
      </c>
      <c r="C13" t="s">
        <v>121</v>
      </c>
    </row>
    <row r="14" spans="1:9" x14ac:dyDescent="0.25">
      <c r="C14" t="s">
        <v>122</v>
      </c>
    </row>
    <row r="59" spans="1:1" x14ac:dyDescent="0.25">
      <c r="A59" s="1"/>
    </row>
    <row r="60" spans="1:1" x14ac:dyDescent="0.25">
      <c r="A60" s="2"/>
    </row>
  </sheetData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110"/>
  <sheetViews>
    <sheetView workbookViewId="0">
      <selection activeCell="A11" sqref="A11"/>
    </sheetView>
  </sheetViews>
  <sheetFormatPr defaultColWidth="8.77734375" defaultRowHeight="13.8" x14ac:dyDescent="0.25"/>
  <cols>
    <col min="1" max="1" width="56.6640625" customWidth="1"/>
    <col min="2" max="2" width="71.44140625" customWidth="1"/>
  </cols>
  <sheetData>
    <row r="1" spans="1:9" x14ac:dyDescent="0.25">
      <c r="A1" s="1" t="s">
        <v>11</v>
      </c>
    </row>
    <row r="3" spans="1: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12</v>
      </c>
      <c r="G3" t="s">
        <v>13</v>
      </c>
      <c r="H3" t="s">
        <v>7</v>
      </c>
      <c r="I3" t="s">
        <v>113</v>
      </c>
    </row>
    <row r="4" spans="1:9" x14ac:dyDescent="0.25">
      <c r="A4">
        <v>50</v>
      </c>
      <c r="B4">
        <v>0.03</v>
      </c>
      <c r="C4">
        <v>2.5000000000000001E-2</v>
      </c>
      <c r="D4">
        <v>0.25</v>
      </c>
      <c r="E4">
        <v>0.6</v>
      </c>
      <c r="F4">
        <v>41</v>
      </c>
      <c r="G4">
        <v>52</v>
      </c>
      <c r="H4">
        <v>2</v>
      </c>
      <c r="I4" t="s">
        <v>111</v>
      </c>
    </row>
    <row r="5" spans="1:9" x14ac:dyDescent="0.25">
      <c r="A5" s="1" t="s">
        <v>15</v>
      </c>
      <c r="I5" t="s">
        <v>112</v>
      </c>
    </row>
    <row r="7" spans="1:9" x14ac:dyDescent="0.25">
      <c r="A7" s="1" t="s">
        <v>6</v>
      </c>
    </row>
    <row r="8" spans="1:9" x14ac:dyDescent="0.25">
      <c r="A8" t="s">
        <v>131</v>
      </c>
      <c r="B8" t="s">
        <v>129</v>
      </c>
      <c r="C8" t="s">
        <v>126</v>
      </c>
    </row>
    <row r="9" spans="1:9" x14ac:dyDescent="0.25">
      <c r="B9" t="s">
        <v>130</v>
      </c>
      <c r="C9" t="s">
        <v>127</v>
      </c>
    </row>
    <row r="10" spans="1:9" x14ac:dyDescent="0.25">
      <c r="C10" t="s">
        <v>128</v>
      </c>
    </row>
    <row r="11" spans="1:9" x14ac:dyDescent="0.25">
      <c r="A11" s="1" t="s">
        <v>9</v>
      </c>
    </row>
    <row r="12" spans="1:9" x14ac:dyDescent="0.25">
      <c r="A12" t="s">
        <v>137</v>
      </c>
      <c r="B12" t="s">
        <v>135</v>
      </c>
      <c r="C12" t="s">
        <v>132</v>
      </c>
    </row>
    <row r="13" spans="1:9" x14ac:dyDescent="0.25">
      <c r="B13" t="s">
        <v>136</v>
      </c>
      <c r="C13" t="s">
        <v>133</v>
      </c>
    </row>
    <row r="14" spans="1:9" x14ac:dyDescent="0.25">
      <c r="C14" t="s">
        <v>134</v>
      </c>
    </row>
    <row r="59" spans="1:1" x14ac:dyDescent="0.25">
      <c r="A59" s="1"/>
    </row>
    <row r="110" spans="51:51" x14ac:dyDescent="0.25">
      <c r="AY110" t="s">
        <v>14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4" sqref="L14"/>
    </sheetView>
  </sheetViews>
  <sheetFormatPr defaultRowHeight="13.8" x14ac:dyDescent="0.25"/>
  <sheetData/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25" sqref="K25"/>
    </sheetView>
  </sheetViews>
  <sheetFormatPr defaultRowHeight="13.8" x14ac:dyDescent="0.25"/>
  <sheetData/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Q31" sqref="Q31"/>
    </sheetView>
  </sheetViews>
  <sheetFormatPr defaultColWidth="8.77734375" defaultRowHeight="13.8" x14ac:dyDescent="0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33"/>
  <sheetViews>
    <sheetView topLeftCell="A58" workbookViewId="0">
      <selection activeCell="C134" sqref="C134"/>
    </sheetView>
  </sheetViews>
  <sheetFormatPr defaultColWidth="8.77734375" defaultRowHeight="13.8" x14ac:dyDescent="0.25"/>
  <cols>
    <col min="2" max="2" width="9.44140625" bestFit="1" customWidth="1"/>
    <col min="3" max="3" width="13.109375" bestFit="1" customWidth="1"/>
    <col min="7" max="7" width="15.44140625" customWidth="1"/>
  </cols>
  <sheetData>
    <row r="1" spans="1:9" x14ac:dyDescent="0.25">
      <c r="A1" t="s">
        <v>53</v>
      </c>
      <c r="B1">
        <v>100</v>
      </c>
    </row>
    <row r="2" spans="1:9" x14ac:dyDescent="0.25">
      <c r="A2" t="s">
        <v>52</v>
      </c>
      <c r="B2">
        <v>0.01</v>
      </c>
    </row>
    <row r="3" spans="1:9" x14ac:dyDescent="0.25">
      <c r="A3" t="s">
        <v>51</v>
      </c>
      <c r="B3">
        <v>0</v>
      </c>
    </row>
    <row r="4" spans="1:9" x14ac:dyDescent="0.25">
      <c r="A4" t="s">
        <v>50</v>
      </c>
      <c r="B4">
        <v>0.25</v>
      </c>
    </row>
    <row r="5" spans="1:9" x14ac:dyDescent="0.25">
      <c r="A5" t="s">
        <v>49</v>
      </c>
      <c r="B5">
        <v>0.25</v>
      </c>
    </row>
    <row r="7" spans="1:9" s="4" customFormat="1" x14ac:dyDescent="0.25">
      <c r="A7" s="4" t="s">
        <v>48</v>
      </c>
      <c r="B7" s="4" t="s">
        <v>47</v>
      </c>
    </row>
    <row r="8" spans="1:9" x14ac:dyDescent="0.25">
      <c r="B8" t="s">
        <v>46</v>
      </c>
    </row>
    <row r="9" spans="1:9" x14ac:dyDescent="0.25">
      <c r="B9" t="s">
        <v>45</v>
      </c>
    </row>
    <row r="10" spans="1:9" x14ac:dyDescent="0.25">
      <c r="B10" t="s">
        <v>44</v>
      </c>
    </row>
    <row r="11" spans="1:9" x14ac:dyDescent="0.25">
      <c r="B11" t="s">
        <v>43</v>
      </c>
    </row>
    <row r="13" spans="1:9" x14ac:dyDescent="0.25">
      <c r="B13" t="s">
        <v>42</v>
      </c>
      <c r="C13" t="s">
        <v>41</v>
      </c>
      <c r="E13" t="s">
        <v>141</v>
      </c>
      <c r="G13" t="s">
        <v>27</v>
      </c>
      <c r="I13" t="s">
        <v>26</v>
      </c>
    </row>
    <row r="14" spans="1:9" x14ac:dyDescent="0.25">
      <c r="B14">
        <v>50</v>
      </c>
      <c r="C14" s="3">
        <f t="shared" ref="C14:C24" si="0">BS_P($B$2, $B$3, $B$4,$B$1,B14,$B$5)</f>
        <v>1.9569914314972197E-8</v>
      </c>
      <c r="E14" t="s">
        <v>20</v>
      </c>
      <c r="G14" s="3">
        <f t="shared" ref="G14:G24" si="1">BS_P_vol($B$2, $B$3, C14,$B$1,B14,$B$5)</f>
        <v>0.25</v>
      </c>
      <c r="I14" s="3">
        <f>B1*EXP(B5*B2)</f>
        <v>100.25031276057952</v>
      </c>
    </row>
    <row r="15" spans="1:9" x14ac:dyDescent="0.25">
      <c r="B15">
        <v>55</v>
      </c>
      <c r="C15" s="3">
        <f t="shared" si="0"/>
        <v>1.3973594721741122E-6</v>
      </c>
      <c r="E15" t="s">
        <v>40</v>
      </c>
      <c r="G15" s="3">
        <f t="shared" si="1"/>
        <v>0.25</v>
      </c>
    </row>
    <row r="16" spans="1:9" x14ac:dyDescent="0.25">
      <c r="B16">
        <v>60</v>
      </c>
      <c r="C16" s="3">
        <f t="shared" si="0"/>
        <v>4.2776530745198914E-5</v>
      </c>
      <c r="E16" t="s">
        <v>20</v>
      </c>
      <c r="G16" s="3">
        <f t="shared" si="1"/>
        <v>0.25</v>
      </c>
    </row>
    <row r="17" spans="2:7" x14ac:dyDescent="0.25">
      <c r="B17">
        <v>65</v>
      </c>
      <c r="C17" s="3">
        <f t="shared" si="0"/>
        <v>6.7165050267042729E-4</v>
      </c>
      <c r="E17" t="s">
        <v>20</v>
      </c>
      <c r="G17" s="3">
        <f t="shared" si="1"/>
        <v>0.25</v>
      </c>
    </row>
    <row r="18" spans="2:7" x14ac:dyDescent="0.25">
      <c r="B18">
        <v>70</v>
      </c>
      <c r="C18" s="3">
        <f t="shared" si="0"/>
        <v>6.1884863754041322E-3</v>
      </c>
      <c r="E18" t="s">
        <v>22</v>
      </c>
      <c r="G18" s="3">
        <f t="shared" si="1"/>
        <v>0.25</v>
      </c>
    </row>
    <row r="19" spans="2:7" x14ac:dyDescent="0.25">
      <c r="B19">
        <v>75</v>
      </c>
      <c r="C19" s="3">
        <f t="shared" si="0"/>
        <v>3.7110543775252983E-2</v>
      </c>
      <c r="E19" t="s">
        <v>22</v>
      </c>
      <c r="G19" s="3">
        <f t="shared" si="1"/>
        <v>0.25</v>
      </c>
    </row>
    <row r="20" spans="2:7" x14ac:dyDescent="0.25">
      <c r="B20">
        <v>80</v>
      </c>
      <c r="C20" s="3">
        <f t="shared" si="0"/>
        <v>0.15711789690878908</v>
      </c>
      <c r="E20" t="s">
        <v>22</v>
      </c>
      <c r="G20" s="3">
        <f t="shared" si="1"/>
        <v>0.25</v>
      </c>
    </row>
    <row r="21" spans="2:7" x14ac:dyDescent="0.25">
      <c r="B21">
        <v>85</v>
      </c>
      <c r="C21" s="3">
        <f t="shared" si="0"/>
        <v>0.5012924922467451</v>
      </c>
      <c r="E21" t="s">
        <v>40</v>
      </c>
      <c r="G21" s="3">
        <f t="shared" si="1"/>
        <v>0.25</v>
      </c>
    </row>
    <row r="22" spans="2:7" x14ac:dyDescent="0.25">
      <c r="B22">
        <v>90</v>
      </c>
      <c r="C22" s="3">
        <f t="shared" si="0"/>
        <v>1.271082810026942</v>
      </c>
      <c r="E22" t="s">
        <v>22</v>
      </c>
      <c r="G22" s="3">
        <f t="shared" si="1"/>
        <v>0.25</v>
      </c>
    </row>
    <row r="23" spans="2:7" x14ac:dyDescent="0.25">
      <c r="B23">
        <v>95</v>
      </c>
      <c r="C23" s="3">
        <f t="shared" si="0"/>
        <v>2.6763013415349124</v>
      </c>
      <c r="E23" t="s">
        <v>22</v>
      </c>
      <c r="G23" s="3">
        <f t="shared" si="1"/>
        <v>0.25</v>
      </c>
    </row>
    <row r="24" spans="2:7" x14ac:dyDescent="0.25">
      <c r="B24">
        <v>100</v>
      </c>
      <c r="C24" s="3">
        <f t="shared" si="0"/>
        <v>4.8534624219006997</v>
      </c>
      <c r="E24" t="s">
        <v>20</v>
      </c>
      <c r="G24" s="3">
        <f t="shared" si="1"/>
        <v>0.25</v>
      </c>
    </row>
    <row r="25" spans="2:7" x14ac:dyDescent="0.25">
      <c r="B25">
        <v>105</v>
      </c>
      <c r="C25" s="3">
        <f t="shared" ref="C25:C44" si="2">BS_C($B$2, $B$3, $B$4,$B$1,B25,$B$5)</f>
        <v>3.0780154524371852</v>
      </c>
      <c r="E25" t="s">
        <v>17</v>
      </c>
      <c r="G25" s="3">
        <f t="shared" ref="G25:G44" si="3">BS_C_vol($B$2, $B$3, C25,$B$1,B25,$B$5)</f>
        <v>0.25</v>
      </c>
    </row>
    <row r="26" spans="2:7" x14ac:dyDescent="0.25">
      <c r="B26">
        <v>110</v>
      </c>
      <c r="C26" s="3">
        <f t="shared" si="2"/>
        <v>1.7379310955710514</v>
      </c>
      <c r="E26" t="s">
        <v>18</v>
      </c>
      <c r="G26" s="3">
        <f t="shared" si="3"/>
        <v>0.25</v>
      </c>
    </row>
    <row r="27" spans="2:7" x14ac:dyDescent="0.25">
      <c r="B27">
        <v>115</v>
      </c>
      <c r="C27" s="3">
        <f t="shared" si="2"/>
        <v>0.92096506726598792</v>
      </c>
      <c r="E27" t="s">
        <v>18</v>
      </c>
      <c r="G27" s="3">
        <f t="shared" si="3"/>
        <v>0.25</v>
      </c>
    </row>
    <row r="28" spans="2:7" x14ac:dyDescent="0.25">
      <c r="B28">
        <v>120</v>
      </c>
      <c r="C28" s="3">
        <f t="shared" si="2"/>
        <v>0.45972632522119578</v>
      </c>
      <c r="E28" t="s">
        <v>17</v>
      </c>
      <c r="G28" s="3">
        <f t="shared" si="3"/>
        <v>0.25</v>
      </c>
    </row>
    <row r="29" spans="2:7" x14ac:dyDescent="0.25">
      <c r="B29">
        <v>125</v>
      </c>
      <c r="C29" s="3">
        <f t="shared" si="2"/>
        <v>0.2170979497646679</v>
      </c>
      <c r="E29" t="s">
        <v>18</v>
      </c>
      <c r="G29" s="3">
        <f t="shared" si="3"/>
        <v>0.25</v>
      </c>
    </row>
    <row r="30" spans="2:7" x14ac:dyDescent="0.25">
      <c r="B30">
        <v>130</v>
      </c>
      <c r="C30" s="3">
        <f t="shared" si="2"/>
        <v>9.7424352585341198E-2</v>
      </c>
      <c r="E30" t="s">
        <v>39</v>
      </c>
      <c r="G30" s="3">
        <f t="shared" si="3"/>
        <v>0.25</v>
      </c>
    </row>
    <row r="31" spans="2:7" x14ac:dyDescent="0.25">
      <c r="B31">
        <v>135</v>
      </c>
      <c r="C31" s="3">
        <f t="shared" si="2"/>
        <v>4.1733703920602189E-2</v>
      </c>
      <c r="E31" t="s">
        <v>39</v>
      </c>
      <c r="G31" s="3">
        <f t="shared" si="3"/>
        <v>0.25</v>
      </c>
    </row>
    <row r="32" spans="2:7" x14ac:dyDescent="0.25">
      <c r="B32">
        <v>140</v>
      </c>
      <c r="C32" s="3">
        <f t="shared" si="2"/>
        <v>1.7139515425410475E-2</v>
      </c>
      <c r="E32" t="s">
        <v>17</v>
      </c>
      <c r="G32" s="3">
        <f t="shared" si="3"/>
        <v>0.25</v>
      </c>
    </row>
    <row r="33" spans="1:7" x14ac:dyDescent="0.25">
      <c r="B33">
        <v>145</v>
      </c>
      <c r="C33" s="3">
        <f t="shared" si="2"/>
        <v>6.7761460201355896E-3</v>
      </c>
      <c r="E33" t="s">
        <v>18</v>
      </c>
      <c r="G33" s="3">
        <f t="shared" si="3"/>
        <v>0.25</v>
      </c>
    </row>
    <row r="34" spans="1:7" x14ac:dyDescent="0.25">
      <c r="B34">
        <v>150</v>
      </c>
      <c r="C34" s="3">
        <f t="shared" si="2"/>
        <v>2.5887940116996904E-3</v>
      </c>
      <c r="E34" t="s">
        <v>17</v>
      </c>
      <c r="G34" s="3">
        <f t="shared" si="3"/>
        <v>0.25</v>
      </c>
    </row>
    <row r="35" spans="1:7" x14ac:dyDescent="0.25">
      <c r="B35">
        <v>155</v>
      </c>
      <c r="C35" s="3">
        <f t="shared" si="2"/>
        <v>9.5911723153391704E-4</v>
      </c>
      <c r="E35" t="s">
        <v>17</v>
      </c>
      <c r="G35" s="3">
        <f t="shared" si="3"/>
        <v>0.25</v>
      </c>
    </row>
    <row r="36" spans="1:7" x14ac:dyDescent="0.25">
      <c r="B36">
        <v>160</v>
      </c>
      <c r="C36" s="3">
        <f t="shared" si="2"/>
        <v>3.457053431766881E-4</v>
      </c>
      <c r="E36" t="s">
        <v>17</v>
      </c>
      <c r="G36" s="3">
        <f t="shared" si="3"/>
        <v>0.25</v>
      </c>
    </row>
    <row r="37" spans="1:7" x14ac:dyDescent="0.25">
      <c r="B37">
        <v>165</v>
      </c>
      <c r="C37" s="3">
        <f t="shared" si="2"/>
        <v>1.2158452224284178E-4</v>
      </c>
      <c r="E37" t="s">
        <v>17</v>
      </c>
      <c r="G37" s="3">
        <f t="shared" si="3"/>
        <v>0.25</v>
      </c>
    </row>
    <row r="38" spans="1:7" x14ac:dyDescent="0.25">
      <c r="B38">
        <v>170</v>
      </c>
      <c r="C38" s="3">
        <f t="shared" si="2"/>
        <v>4.1835999104369917E-5</v>
      </c>
      <c r="E38" t="s">
        <v>19</v>
      </c>
      <c r="G38" s="3">
        <f t="shared" si="3"/>
        <v>0.25</v>
      </c>
    </row>
    <row r="39" spans="1:7" x14ac:dyDescent="0.25">
      <c r="B39">
        <v>175</v>
      </c>
      <c r="C39" s="3">
        <f t="shared" si="2"/>
        <v>1.4118099090984019E-5</v>
      </c>
      <c r="E39" t="s">
        <v>17</v>
      </c>
      <c r="G39" s="3">
        <f t="shared" si="3"/>
        <v>0.25</v>
      </c>
    </row>
    <row r="40" spans="1:7" x14ac:dyDescent="0.25">
      <c r="B40">
        <v>180</v>
      </c>
      <c r="C40" s="3">
        <f t="shared" si="2"/>
        <v>4.6828758223491337E-6</v>
      </c>
      <c r="E40" t="s">
        <v>39</v>
      </c>
      <c r="G40" s="3">
        <f t="shared" si="3"/>
        <v>0.25</v>
      </c>
    </row>
    <row r="41" spans="1:7" x14ac:dyDescent="0.25">
      <c r="B41">
        <v>185</v>
      </c>
      <c r="C41" s="3">
        <f t="shared" si="2"/>
        <v>1.5297684282847445E-6</v>
      </c>
      <c r="E41" t="s">
        <v>38</v>
      </c>
      <c r="G41" s="3">
        <f t="shared" si="3"/>
        <v>0.25</v>
      </c>
    </row>
    <row r="42" spans="1:7" x14ac:dyDescent="0.25">
      <c r="B42">
        <v>190</v>
      </c>
      <c r="C42" s="3">
        <f t="shared" si="2"/>
        <v>4.930604138057661E-7</v>
      </c>
      <c r="E42" t="s">
        <v>18</v>
      </c>
      <c r="G42" s="3">
        <f t="shared" si="3"/>
        <v>0.25</v>
      </c>
    </row>
    <row r="43" spans="1:7" x14ac:dyDescent="0.25">
      <c r="B43">
        <v>195</v>
      </c>
      <c r="C43" s="3">
        <f t="shared" si="2"/>
        <v>1.5705323551731201E-7</v>
      </c>
      <c r="E43" t="s">
        <v>17</v>
      </c>
      <c r="G43" s="3">
        <f t="shared" si="3"/>
        <v>0.25</v>
      </c>
    </row>
    <row r="44" spans="1:7" x14ac:dyDescent="0.25">
      <c r="B44">
        <v>200</v>
      </c>
      <c r="C44" s="3">
        <f t="shared" si="2"/>
        <v>4.9511962481706547E-8</v>
      </c>
      <c r="E44" t="s">
        <v>18</v>
      </c>
      <c r="G44" s="3">
        <f t="shared" si="3"/>
        <v>0.25</v>
      </c>
    </row>
    <row r="46" spans="1:7" s="4" customFormat="1" x14ac:dyDescent="0.25">
      <c r="A46" s="4" t="s">
        <v>37</v>
      </c>
    </row>
    <row r="47" spans="1:7" x14ac:dyDescent="0.25">
      <c r="B47" t="s">
        <v>36</v>
      </c>
      <c r="C47" t="s">
        <v>35</v>
      </c>
    </row>
    <row r="48" spans="1:7" x14ac:dyDescent="0.25">
      <c r="B48">
        <v>0.2</v>
      </c>
      <c r="C48" s="3">
        <f>Forward_Jump(B2,B3,B1,B48,B5,B52)</f>
        <v>100.25031276057952</v>
      </c>
    </row>
    <row r="49" spans="1:2" x14ac:dyDescent="0.25">
      <c r="B49" t="s">
        <v>34</v>
      </c>
    </row>
    <row r="50" spans="1:2" x14ac:dyDescent="0.25">
      <c r="B50">
        <v>4</v>
      </c>
    </row>
    <row r="51" spans="1:2" x14ac:dyDescent="0.25">
      <c r="B51" t="s">
        <v>33</v>
      </c>
    </row>
    <row r="52" spans="1:2" x14ac:dyDescent="0.25">
      <c r="B52">
        <f>1/B50</f>
        <v>0.25</v>
      </c>
    </row>
    <row r="54" spans="1:2" s="4" customFormat="1" x14ac:dyDescent="0.25">
      <c r="A54" s="4" t="s">
        <v>32</v>
      </c>
    </row>
    <row r="95" spans="1:1" s="4" customFormat="1" x14ac:dyDescent="0.25">
      <c r="A95" s="4" t="s">
        <v>31</v>
      </c>
    </row>
    <row r="98" spans="2:12" x14ac:dyDescent="0.25">
      <c r="D98" t="s">
        <v>30</v>
      </c>
    </row>
    <row r="99" spans="2:12" x14ac:dyDescent="0.25">
      <c r="B99" t="s">
        <v>29</v>
      </c>
      <c r="C99" t="s">
        <v>28</v>
      </c>
      <c r="E99" t="s">
        <v>142</v>
      </c>
      <c r="G99" t="s">
        <v>27</v>
      </c>
      <c r="H99" t="s">
        <v>26</v>
      </c>
      <c r="J99" t="s">
        <v>25</v>
      </c>
      <c r="K99" t="s">
        <v>24</v>
      </c>
      <c r="L99" t="s">
        <v>23</v>
      </c>
    </row>
    <row r="100" spans="2:12" x14ac:dyDescent="0.25">
      <c r="B100">
        <v>50</v>
      </c>
      <c r="C100" s="3">
        <f t="shared" ref="C100:C110" si="4">BS_jump_P($B$2, $B$3, $B$4,$B$1,B100,$B$5,$L$100,$J$100)</f>
        <v>1.601505912693292E-4</v>
      </c>
      <c r="E100" t="s">
        <v>22</v>
      </c>
      <c r="G100" s="3">
        <f>BS_P_vol($B$2, $B$3, C100,$B$1,B100,$B$5)</f>
        <v>0.35958196424715577</v>
      </c>
      <c r="H100">
        <f>I14</f>
        <v>100.25031276057952</v>
      </c>
      <c r="J100">
        <v>0.2</v>
      </c>
      <c r="K100">
        <v>4</v>
      </c>
      <c r="L100">
        <f>1/K100</f>
        <v>0.25</v>
      </c>
    </row>
    <row r="101" spans="2:12" x14ac:dyDescent="0.25">
      <c r="B101">
        <v>55</v>
      </c>
      <c r="C101" s="3">
        <f t="shared" si="4"/>
        <v>8.8114043316546062E-4</v>
      </c>
      <c r="E101" t="s">
        <v>22</v>
      </c>
      <c r="G101" s="3">
        <f t="shared" ref="G101:G110" si="5">BS_P_vol($B$2, $B$3, C101,$B$1,B101,$B$5)</f>
        <v>0.3471104752665396</v>
      </c>
    </row>
    <row r="102" spans="2:12" x14ac:dyDescent="0.25">
      <c r="B102">
        <v>60</v>
      </c>
      <c r="C102" s="3">
        <f t="shared" si="4"/>
        <v>3.9278428697327918E-3</v>
      </c>
      <c r="E102" t="s">
        <v>20</v>
      </c>
      <c r="G102" s="3">
        <f t="shared" si="5"/>
        <v>0.33504116732007722</v>
      </c>
    </row>
    <row r="103" spans="2:12" x14ac:dyDescent="0.25">
      <c r="B103">
        <v>65</v>
      </c>
      <c r="C103" s="3">
        <f t="shared" si="4"/>
        <v>1.4847632776587396E-2</v>
      </c>
      <c r="E103" t="s">
        <v>20</v>
      </c>
      <c r="G103" s="3">
        <f t="shared" si="5"/>
        <v>0.3237005091614234</v>
      </c>
    </row>
    <row r="104" spans="2:12" x14ac:dyDescent="0.25">
      <c r="B104">
        <v>70</v>
      </c>
      <c r="C104" s="3">
        <f t="shared" si="4"/>
        <v>4.8344560737843573E-2</v>
      </c>
      <c r="E104" t="s">
        <v>20</v>
      </c>
      <c r="G104" s="3">
        <f t="shared" si="5"/>
        <v>0.31290155579433609</v>
      </c>
    </row>
    <row r="105" spans="2:12" x14ac:dyDescent="0.25">
      <c r="B105">
        <v>75</v>
      </c>
      <c r="C105" s="3">
        <f t="shared" si="4"/>
        <v>0.13697686306562071</v>
      </c>
      <c r="E105" t="s">
        <v>22</v>
      </c>
      <c r="G105" s="3">
        <f t="shared" si="5"/>
        <v>0.30231411513820106</v>
      </c>
    </row>
    <row r="106" spans="2:12" x14ac:dyDescent="0.25">
      <c r="B106">
        <v>80</v>
      </c>
      <c r="C106" s="3">
        <f t="shared" si="4"/>
        <v>0.34543678678482642</v>
      </c>
      <c r="E106" t="s">
        <v>20</v>
      </c>
      <c r="G106" s="3">
        <f t="shared" si="5"/>
        <v>0.2923368437781898</v>
      </c>
    </row>
    <row r="107" spans="2:12" x14ac:dyDescent="0.25">
      <c r="B107">
        <v>85</v>
      </c>
      <c r="C107" s="3">
        <f t="shared" si="4"/>
        <v>0.7886276196116716</v>
      </c>
      <c r="E107" t="s">
        <v>20</v>
      </c>
      <c r="G107" s="3">
        <f t="shared" si="5"/>
        <v>0.28373493809824968</v>
      </c>
    </row>
    <row r="108" spans="2:12" x14ac:dyDescent="0.25">
      <c r="B108">
        <v>90</v>
      </c>
      <c r="C108" s="3">
        <f t="shared" si="4"/>
        <v>1.6338050680390832</v>
      </c>
      <c r="E108" t="s">
        <v>21</v>
      </c>
      <c r="G108" s="3">
        <f t="shared" si="5"/>
        <v>0.27691176956370578</v>
      </c>
    </row>
    <row r="109" spans="2:12" x14ac:dyDescent="0.25">
      <c r="B109">
        <v>95</v>
      </c>
      <c r="C109" s="3">
        <f t="shared" si="4"/>
        <v>3.0636499826694221</v>
      </c>
      <c r="E109" t="s">
        <v>21</v>
      </c>
      <c r="G109" s="3">
        <f t="shared" si="5"/>
        <v>0.27176796683612603</v>
      </c>
    </row>
    <row r="110" spans="2:12" x14ac:dyDescent="0.25">
      <c r="B110">
        <v>100</v>
      </c>
      <c r="C110" s="3">
        <f t="shared" si="4"/>
        <v>5.2105081803517503</v>
      </c>
      <c r="E110" t="s">
        <v>20</v>
      </c>
      <c r="G110" s="3">
        <f t="shared" si="5"/>
        <v>0.26796297798868163</v>
      </c>
    </row>
    <row r="111" spans="2:12" x14ac:dyDescent="0.25">
      <c r="B111">
        <v>105</v>
      </c>
      <c r="C111" s="3">
        <f t="shared" ref="C111:C130" si="6">BS_jump_C($B$2, $B$3, $B$4,$B$1,B111,$B$5,$L$100,$J$100)</f>
        <v>3.3671709766369209</v>
      </c>
      <c r="E111" t="s">
        <v>18</v>
      </c>
      <c r="G111" s="3">
        <f t="shared" ref="G111:G130" si="7">BS_C_vol($B$2, $B$3, C111,$B$1,B111,$B$5)</f>
        <v>0.26514180959010553</v>
      </c>
    </row>
    <row r="112" spans="2:12" x14ac:dyDescent="0.25">
      <c r="B112">
        <v>110</v>
      </c>
      <c r="C112" s="3">
        <f t="shared" si="6"/>
        <v>1.9468750384630193</v>
      </c>
      <c r="E112" t="s">
        <v>17</v>
      </c>
      <c r="G112" s="3">
        <f t="shared" si="7"/>
        <v>0.26302143897144936</v>
      </c>
    </row>
    <row r="113" spans="2:7" x14ac:dyDescent="0.25">
      <c r="B113">
        <v>115</v>
      </c>
      <c r="C113" s="3">
        <f t="shared" si="6"/>
        <v>1.057505499184709</v>
      </c>
      <c r="E113" t="s">
        <v>19</v>
      </c>
      <c r="G113" s="3">
        <f t="shared" si="7"/>
        <v>0.26139821509835004</v>
      </c>
    </row>
    <row r="114" spans="2:7" x14ac:dyDescent="0.25">
      <c r="B114">
        <v>120</v>
      </c>
      <c r="C114" s="3">
        <f t="shared" si="6"/>
        <v>0.541370762561321</v>
      </c>
      <c r="E114" t="s">
        <v>17</v>
      </c>
      <c r="G114" s="3">
        <f t="shared" si="7"/>
        <v>0.26013099210307994</v>
      </c>
    </row>
    <row r="115" spans="2:7" x14ac:dyDescent="0.25">
      <c r="B115">
        <v>125</v>
      </c>
      <c r="C115" s="3">
        <f t="shared" si="6"/>
        <v>0.26223038996362869</v>
      </c>
      <c r="E115" t="s">
        <v>17</v>
      </c>
      <c r="G115" s="3">
        <f t="shared" si="7"/>
        <v>0.25912270083714856</v>
      </c>
    </row>
    <row r="116" spans="2:7" x14ac:dyDescent="0.25">
      <c r="B116">
        <v>130</v>
      </c>
      <c r="C116" s="3">
        <f t="shared" si="6"/>
        <v>0.12069784007937942</v>
      </c>
      <c r="E116" t="s">
        <v>17</v>
      </c>
      <c r="G116" s="3">
        <f t="shared" si="7"/>
        <v>0.25830613585826689</v>
      </c>
    </row>
    <row r="117" spans="2:7" x14ac:dyDescent="0.25">
      <c r="B117">
        <v>135</v>
      </c>
      <c r="C117" s="3">
        <f t="shared" si="6"/>
        <v>5.3018225263100661E-2</v>
      </c>
      <c r="E117" t="s">
        <v>18</v>
      </c>
      <c r="G117" s="3">
        <f t="shared" si="7"/>
        <v>0.25763414338786916</v>
      </c>
    </row>
    <row r="118" spans="2:7" x14ac:dyDescent="0.25">
      <c r="B118">
        <v>140</v>
      </c>
      <c r="C118" s="3">
        <f t="shared" si="6"/>
        <v>2.2320125652442808E-2</v>
      </c>
      <c r="E118" t="s">
        <v>17</v>
      </c>
      <c r="G118" s="3">
        <f t="shared" si="7"/>
        <v>0.25707309991813398</v>
      </c>
    </row>
    <row r="119" spans="2:7" x14ac:dyDescent="0.25">
      <c r="B119">
        <v>145</v>
      </c>
      <c r="C119" s="3">
        <f t="shared" si="6"/>
        <v>9.0419621048638925E-3</v>
      </c>
      <c r="E119" t="s">
        <v>17</v>
      </c>
      <c r="G119" s="3">
        <f t="shared" si="7"/>
        <v>0.25659862086159235</v>
      </c>
    </row>
    <row r="120" spans="2:7" x14ac:dyDescent="0.25">
      <c r="B120">
        <v>150</v>
      </c>
      <c r="C120" s="3">
        <f t="shared" si="6"/>
        <v>3.5380287442057777E-3</v>
      </c>
      <c r="E120" t="s">
        <v>18</v>
      </c>
      <c r="G120" s="3">
        <f t="shared" si="7"/>
        <v>0.25619264120001761</v>
      </c>
    </row>
    <row r="121" spans="2:7" x14ac:dyDescent="0.25">
      <c r="B121">
        <v>155</v>
      </c>
      <c r="C121" s="3">
        <f t="shared" si="6"/>
        <v>1.3418684665881398E-3</v>
      </c>
      <c r="E121" t="s">
        <v>18</v>
      </c>
      <c r="G121" s="3">
        <f t="shared" si="7"/>
        <v>0.25584175989574803</v>
      </c>
    </row>
    <row r="122" spans="2:7" x14ac:dyDescent="0.25">
      <c r="B122">
        <v>160</v>
      </c>
      <c r="C122" s="3">
        <f t="shared" si="6"/>
        <v>4.9488391650037223E-4</v>
      </c>
      <c r="E122" t="s">
        <v>18</v>
      </c>
      <c r="G122" s="3">
        <f t="shared" si="7"/>
        <v>0.25553567244906644</v>
      </c>
    </row>
    <row r="123" spans="2:7" x14ac:dyDescent="0.25">
      <c r="B123">
        <v>165</v>
      </c>
      <c r="C123" s="3">
        <f t="shared" si="6"/>
        <v>1.7799890873514739E-4</v>
      </c>
      <c r="E123" t="s">
        <v>18</v>
      </c>
      <c r="G123" s="3">
        <f t="shared" si="7"/>
        <v>0.25526644874814181</v>
      </c>
    </row>
    <row r="124" spans="2:7" x14ac:dyDescent="0.25">
      <c r="B124">
        <v>170</v>
      </c>
      <c r="C124" s="3">
        <f t="shared" si="6"/>
        <v>6.260583703425956E-5</v>
      </c>
      <c r="E124" t="s">
        <v>17</v>
      </c>
      <c r="G124" s="3">
        <f t="shared" si="7"/>
        <v>0.25502788422865785</v>
      </c>
    </row>
    <row r="125" spans="2:7" x14ac:dyDescent="0.25">
      <c r="B125">
        <v>175</v>
      </c>
      <c r="C125" s="3">
        <f t="shared" si="6"/>
        <v>2.1585064598548588E-5</v>
      </c>
      <c r="E125" t="s">
        <v>18</v>
      </c>
      <c r="G125" s="3">
        <f t="shared" si="7"/>
        <v>0.2548150643146444</v>
      </c>
    </row>
    <row r="126" spans="2:7" x14ac:dyDescent="0.25">
      <c r="B126">
        <v>180</v>
      </c>
      <c r="C126" s="3">
        <f t="shared" si="6"/>
        <v>7.3112784083118854E-6</v>
      </c>
      <c r="E126" t="s">
        <v>17</v>
      </c>
      <c r="G126" s="3">
        <f t="shared" si="7"/>
        <v>0.25462405099231289</v>
      </c>
    </row>
    <row r="127" spans="2:7" x14ac:dyDescent="0.25">
      <c r="B127">
        <v>185</v>
      </c>
      <c r="C127" s="3">
        <f t="shared" si="6"/>
        <v>2.4378456257812079E-6</v>
      </c>
      <c r="E127" t="s">
        <v>17</v>
      </c>
      <c r="G127" s="3">
        <f t="shared" si="7"/>
        <v>0.25445165371304362</v>
      </c>
    </row>
    <row r="128" spans="2:7" x14ac:dyDescent="0.25">
      <c r="B128">
        <v>190</v>
      </c>
      <c r="C128" s="3">
        <f t="shared" si="6"/>
        <v>8.0164567989620954E-7</v>
      </c>
      <c r="E128" t="s">
        <v>17</v>
      </c>
      <c r="G128" s="3">
        <f t="shared" si="7"/>
        <v>0.25429525917366569</v>
      </c>
    </row>
    <row r="129" spans="2:17" x14ac:dyDescent="0.25">
      <c r="B129">
        <v>195</v>
      </c>
      <c r="C129" s="3">
        <f t="shared" si="6"/>
        <v>2.6039883426896264E-7</v>
      </c>
      <c r="E129" t="s">
        <v>17</v>
      </c>
      <c r="G129" s="3">
        <f t="shared" si="7"/>
        <v>0.25415289532092233</v>
      </c>
    </row>
    <row r="130" spans="2:17" x14ac:dyDescent="0.25">
      <c r="B130">
        <v>200</v>
      </c>
      <c r="C130" s="3">
        <f t="shared" si="6"/>
        <v>8.3680892868972065E-8</v>
      </c>
      <c r="E130" t="s">
        <v>17</v>
      </c>
      <c r="G130" s="3">
        <f t="shared" si="7"/>
        <v>0.25402253845303957</v>
      </c>
    </row>
    <row r="133" spans="2:17" x14ac:dyDescent="0.25">
      <c r="B133" t="s">
        <v>16</v>
      </c>
      <c r="C133" s="3" t="s">
        <v>143</v>
      </c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exercise1</vt:lpstr>
      <vt:lpstr>exercise2</vt:lpstr>
      <vt:lpstr>exercise3</vt:lpstr>
      <vt:lpstr>exercise4</vt:lpstr>
      <vt:lpstr>exercise5</vt:lpstr>
      <vt:lpstr>exercise6</vt:lpstr>
      <vt:lpstr>app1</vt:lpstr>
      <vt:lpstr>app2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2018-10-09T21:25:47Z</dcterms:modified>
</cp:coreProperties>
</file>