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" l="1"/>
  <c r="S3" i="1" s="1"/>
  <c r="E4" i="1"/>
  <c r="E5" i="1"/>
  <c r="S4" i="1" s="1"/>
  <c r="E6" i="1"/>
  <c r="E7" i="1"/>
  <c r="S5" i="1" s="1"/>
  <c r="E8" i="1"/>
  <c r="E9" i="1"/>
  <c r="S6" i="1" s="1"/>
  <c r="E10" i="1"/>
  <c r="E11" i="1"/>
  <c r="S7" i="1" s="1"/>
  <c r="E12" i="1"/>
  <c r="E13" i="1"/>
  <c r="E14" i="1"/>
  <c r="E15" i="1"/>
  <c r="S8" i="1" s="1"/>
  <c r="E16" i="1"/>
  <c r="E17" i="1"/>
  <c r="E18" i="1"/>
  <c r="E19" i="1"/>
  <c r="E20" i="1"/>
  <c r="E21" i="1"/>
  <c r="S9" i="1" s="1"/>
  <c r="E2" i="1"/>
  <c r="P9" i="1"/>
  <c r="P8" i="1"/>
  <c r="P7" i="1"/>
  <c r="P6" i="1"/>
  <c r="P5" i="1"/>
  <c r="P4" i="1"/>
  <c r="P3" i="1"/>
  <c r="K3" i="1"/>
  <c r="M3" i="1"/>
  <c r="B2" i="1"/>
  <c r="T9" i="1" l="1"/>
  <c r="Q9" i="1" s="1"/>
  <c r="T3" i="1"/>
  <c r="Q3" i="1" s="1"/>
  <c r="T5" i="1"/>
  <c r="Q5" i="1" s="1"/>
  <c r="T6" i="1"/>
  <c r="Q6" i="1" s="1"/>
  <c r="T4" i="1"/>
  <c r="Q4" i="1" s="1"/>
  <c r="T7" i="1"/>
  <c r="Q7" i="1" s="1"/>
  <c r="T8" i="1"/>
  <c r="Q8" i="1" s="1"/>
  <c r="B3" i="1"/>
  <c r="B4" i="1"/>
  <c r="B5" i="1"/>
  <c r="M4" i="1" s="1"/>
  <c r="B6" i="1"/>
  <c r="B7" i="1"/>
  <c r="M5" i="1" s="1"/>
  <c r="B8" i="1"/>
  <c r="B9" i="1"/>
  <c r="M6" i="1" s="1"/>
  <c r="B10" i="1"/>
  <c r="B11" i="1"/>
  <c r="M7" i="1" s="1"/>
  <c r="B12" i="1"/>
  <c r="B13" i="1"/>
  <c r="B14" i="1"/>
  <c r="B15" i="1"/>
  <c r="M8" i="1" s="1"/>
  <c r="B16" i="1"/>
  <c r="B17" i="1"/>
  <c r="B18" i="1"/>
  <c r="B19" i="1"/>
  <c r="B20" i="1"/>
  <c r="B21" i="1"/>
  <c r="M9" i="1" s="1"/>
  <c r="J8" i="1"/>
  <c r="J9" i="1"/>
  <c r="J7" i="1"/>
  <c r="J6" i="1"/>
  <c r="J5" i="1"/>
  <c r="J4" i="1"/>
  <c r="J3" i="1"/>
  <c r="A21" i="1"/>
  <c r="A20" i="1"/>
  <c r="A18" i="1"/>
  <c r="A19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3" i="1"/>
  <c r="N9" i="1" l="1"/>
  <c r="K9" i="1" s="1"/>
  <c r="N6" i="1"/>
  <c r="K6" i="1" s="1"/>
  <c r="N3" i="1"/>
  <c r="N7" i="1"/>
  <c r="K7" i="1" s="1"/>
  <c r="N4" i="1"/>
  <c r="K4" i="1" s="1"/>
  <c r="N8" i="1"/>
  <c r="K8" i="1" s="1"/>
  <c r="N5" i="1"/>
  <c r="K5" i="1" s="1"/>
</calcChain>
</file>

<file path=xl/sharedStrings.xml><?xml version="1.0" encoding="utf-8"?>
<sst xmlns="http://schemas.openxmlformats.org/spreadsheetml/2006/main" count="16" uniqueCount="12">
  <si>
    <t xml:space="preserve">Time </t>
  </si>
  <si>
    <t>disc P</t>
  </si>
  <si>
    <t>T</t>
  </si>
  <si>
    <t>par swap rate</t>
  </si>
  <si>
    <t>A(2,T)</t>
  </si>
  <si>
    <t>P(T)</t>
  </si>
  <si>
    <t>a)</t>
  </si>
  <si>
    <t>b)</t>
  </si>
  <si>
    <t>OIS</t>
  </si>
  <si>
    <t>EURIBOR</t>
  </si>
  <si>
    <t>(a) you can change the OIS rate number and clike the buttom blow to get the right discount factor P</t>
  </si>
  <si>
    <t>(b) you can change the EURIBOR rate number and clike the buttom blow to get the right discount factor 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</si>
</sst>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316230</xdr:colOff>
          <xdr:row>24</xdr:row>
          <xdr:rowOff>30480</xdr:rowOff>
        </xdr:from>
        <xdr:to>
          <xdr:col>2</xdr:col>
          <xdr:colOff>57150</xdr:colOff>
          <xdr:row>26</xdr:row>
          <xdr:rowOff>22860</xdr:rowOff>
        </xdr:to>
        <xdr:sp macro="" textlink="">
          <xdr:nvSpPr>
            <xdr:cNvPr id="1027" name="A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339090</xdr:colOff>
          <xdr:row>28</xdr:row>
          <xdr:rowOff>118110</xdr:rowOff>
        </xdr:from>
        <xdr:to>
          <xdr:col>2</xdr:col>
          <xdr:colOff>45720</xdr:colOff>
          <xdr:row>30</xdr:row>
          <xdr:rowOff>110490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8"/>
  <sheetViews>
    <sheetView tabSelected="1" topLeftCell="A10" workbookViewId="0">
      <selection activeCell="I32" sqref="I32"/>
    </sheetView>
  </sheetViews>
  <sheetFormatPr defaultRowHeight="14.4" x14ac:dyDescent="0.55000000000000004"/>
  <cols>
    <col min="7" max="7" width="2.734375" customWidth="1"/>
    <col min="8" max="8" width="8.83984375" hidden="1" customWidth="1"/>
  </cols>
  <sheetData>
    <row r="1" spans="1:20" x14ac:dyDescent="0.55000000000000004">
      <c r="A1" t="s">
        <v>0</v>
      </c>
      <c r="B1" t="s">
        <v>1</v>
      </c>
      <c r="C1" t="s">
        <v>8</v>
      </c>
      <c r="E1" t="s">
        <v>1</v>
      </c>
      <c r="F1" t="s">
        <v>9</v>
      </c>
      <c r="J1" s="2" t="s">
        <v>6</v>
      </c>
      <c r="P1" s="2" t="s">
        <v>7</v>
      </c>
    </row>
    <row r="2" spans="1:20" x14ac:dyDescent="0.55000000000000004">
      <c r="A2">
        <v>0.5</v>
      </c>
      <c r="B2">
        <f>EXP(-C2*A2)</f>
        <v>1.0018333546092197</v>
      </c>
      <c r="C2">
        <v>-3.6633521318435664E-3</v>
      </c>
      <c r="E2">
        <f>EXP(-F2*A2)</f>
        <v>1.0012515644177975</v>
      </c>
      <c r="F2">
        <v>-2.5015637278556829E-3</v>
      </c>
      <c r="I2" t="s">
        <v>2</v>
      </c>
      <c r="J2" t="s">
        <v>3</v>
      </c>
      <c r="M2" t="s">
        <v>5</v>
      </c>
      <c r="N2" t="s">
        <v>4</v>
      </c>
      <c r="P2" t="s">
        <v>3</v>
      </c>
      <c r="S2" t="s">
        <v>5</v>
      </c>
      <c r="T2" t="s">
        <v>4</v>
      </c>
    </row>
    <row r="3" spans="1:20" x14ac:dyDescent="0.55000000000000004">
      <c r="A3">
        <f>A2+0.5</f>
        <v>1</v>
      </c>
      <c r="B3">
        <f t="shared" ref="B3:B21" si="0">EXP(-C3*A3)</f>
        <v>1.0036700704075627</v>
      </c>
      <c r="C3">
        <v>-3.6633521318435664E-3</v>
      </c>
      <c r="E3">
        <f t="shared" ref="E3:E21" si="1">EXP(-F3*A3)</f>
        <v>1.0025046952490868</v>
      </c>
      <c r="F3">
        <v>-2.5015637278556829E-3</v>
      </c>
      <c r="I3">
        <v>1</v>
      </c>
      <c r="J3" s="1">
        <f>-0.366/100</f>
        <v>-3.6600000000000001E-3</v>
      </c>
      <c r="K3">
        <f>(1-M3)/N3</f>
        <v>-3.6599991421425956E-3</v>
      </c>
      <c r="M3">
        <f>B3</f>
        <v>1.0036700704075627</v>
      </c>
      <c r="N3">
        <f>SUM(B2:B3)/2</f>
        <v>1.0027517125083913</v>
      </c>
      <c r="P3">
        <f>-0.25/100</f>
        <v>-2.5000000000000001E-3</v>
      </c>
      <c r="Q3">
        <f>(1-S3)/T3</f>
        <v>-2.4999999246447294E-3</v>
      </c>
      <c r="S3">
        <f>E3</f>
        <v>1.0025046952490868</v>
      </c>
      <c r="T3">
        <f>SUM(E2:E3)/2</f>
        <v>1.0018781298334423</v>
      </c>
    </row>
    <row r="4" spans="1:20" x14ac:dyDescent="0.55000000000000004">
      <c r="A4">
        <f t="shared" ref="A4:A19" si="2">A3+0.5</f>
        <v>1.5</v>
      </c>
      <c r="B4">
        <f t="shared" si="0"/>
        <v>1.0048240895732596</v>
      </c>
      <c r="C4">
        <v>-3.2083272933959958E-3</v>
      </c>
      <c r="E4">
        <f t="shared" si="1"/>
        <v>1.0030820011520973</v>
      </c>
      <c r="F4">
        <v>-2.0515076816082006E-3</v>
      </c>
      <c r="I4">
        <v>2</v>
      </c>
      <c r="J4" s="1">
        <f>-0.275/100</f>
        <v>-2.7500000000000003E-3</v>
      </c>
      <c r="K4">
        <f t="shared" ref="K4:K9" si="3">(1-M4)/N4</f>
        <v>-2.7500006607658095E-3</v>
      </c>
      <c r="M4">
        <f>B5</f>
        <v>1.0055217941262529</v>
      </c>
      <c r="N4">
        <f>SUM(B2:B5)/2</f>
        <v>2.0079246543581477</v>
      </c>
      <c r="P4">
        <f>-0.16/100</f>
        <v>-1.6000000000000001E-3</v>
      </c>
      <c r="Q4">
        <f t="shared" ref="Q4:Q9" si="4">(1-S4)/T4</f>
        <v>-1.6000005021934902E-3</v>
      </c>
      <c r="S4">
        <f>E5</f>
        <v>1.0032080380460016</v>
      </c>
      <c r="T4">
        <f>SUM(E2:E5)/2</f>
        <v>2.0050231494324917</v>
      </c>
    </row>
    <row r="5" spans="1:20" x14ac:dyDescent="0.55000000000000004">
      <c r="A5">
        <f t="shared" si="2"/>
        <v>2</v>
      </c>
      <c r="B5">
        <f t="shared" si="0"/>
        <v>1.0055217941262529</v>
      </c>
      <c r="C5">
        <v>-2.7533024549484253E-3</v>
      </c>
      <c r="E5">
        <f t="shared" si="1"/>
        <v>1.0032080380460016</v>
      </c>
      <c r="F5">
        <v>-1.6014516353607179E-3</v>
      </c>
      <c r="I5">
        <v>3</v>
      </c>
      <c r="J5" s="1">
        <f>-0.16/100</f>
        <v>-1.6000000000000001E-3</v>
      </c>
      <c r="K5">
        <f t="shared" si="3"/>
        <v>-1.6000001155129836E-3</v>
      </c>
      <c r="M5">
        <f>B7</f>
        <v>1.00482090481148</v>
      </c>
      <c r="N5">
        <f>SUM(B2:B7)/2</f>
        <v>3.0130652896449046</v>
      </c>
      <c r="P5">
        <f>-0.04/100</f>
        <v>-4.0000000000000002E-4</v>
      </c>
      <c r="Q5">
        <f t="shared" si="4"/>
        <v>-3.9999975248134986E-4</v>
      </c>
      <c r="S5">
        <f>E7</f>
        <v>1.00120275022428</v>
      </c>
      <c r="T5">
        <f>SUM(E2:E7)/2</f>
        <v>3.0068774213454965</v>
      </c>
    </row>
    <row r="6" spans="1:20" x14ac:dyDescent="0.55000000000000004">
      <c r="A6">
        <f t="shared" si="2"/>
        <v>2.5</v>
      </c>
      <c r="B6">
        <f t="shared" si="0"/>
        <v>1.0054603657620342</v>
      </c>
      <c r="C6">
        <v>-2.1782048046588899E-3</v>
      </c>
      <c r="E6">
        <f t="shared" si="1"/>
        <v>1.0025057936017292</v>
      </c>
      <c r="F6">
        <v>-1.001063734292984E-3</v>
      </c>
      <c r="I6">
        <v>4</v>
      </c>
      <c r="J6" s="1">
        <f>-0.035/100</f>
        <v>-3.5000000000000005E-4</v>
      </c>
      <c r="K6">
        <f t="shared" si="3"/>
        <v>-3.49999216011292E-4</v>
      </c>
      <c r="M6">
        <f>B9</f>
        <v>1.0014054151535854</v>
      </c>
      <c r="N6">
        <f>SUM(B2:B9)/2</f>
        <v>4.0154808619344013</v>
      </c>
      <c r="P6">
        <f>0.1/100</f>
        <v>1E-3</v>
      </c>
      <c r="Q6">
        <f t="shared" si="4"/>
        <v>1.000000177686728E-3</v>
      </c>
      <c r="S6">
        <f>E9</f>
        <v>0.99599565088245634</v>
      </c>
      <c r="T6">
        <f>SUM(E2:E9)/2</f>
        <v>4.0043484060240937</v>
      </c>
    </row>
    <row r="7" spans="1:20" x14ac:dyDescent="0.55000000000000004">
      <c r="A7">
        <f t="shared" si="2"/>
        <v>3</v>
      </c>
      <c r="B7">
        <f t="shared" si="0"/>
        <v>1.00482090481148</v>
      </c>
      <c r="C7">
        <v>-1.6031071543693544E-3</v>
      </c>
      <c r="E7">
        <f t="shared" si="1"/>
        <v>1.00120275022428</v>
      </c>
      <c r="F7">
        <v>-4.0067583322525027E-4</v>
      </c>
      <c r="I7">
        <v>5</v>
      </c>
      <c r="J7" s="1">
        <f>0.015/100</f>
        <v>1.4999999999999999E-4</v>
      </c>
      <c r="K7">
        <f t="shared" si="3"/>
        <v>1.5000009218817833E-4</v>
      </c>
      <c r="M7">
        <f>B11</f>
        <v>0.99924769997357243</v>
      </c>
      <c r="N7">
        <f>SUM(B2:B11)/2</f>
        <v>5.0153304271559342</v>
      </c>
      <c r="P7">
        <f>0.25/100</f>
        <v>2.5000000000000001E-3</v>
      </c>
      <c r="Q7">
        <f t="shared" si="4"/>
        <v>2.4999996902037888E-3</v>
      </c>
      <c r="S7">
        <f>E11</f>
        <v>0.98751458675534298</v>
      </c>
      <c r="T7">
        <f>SUM(E2:E11)/2</f>
        <v>4.9941659167322783</v>
      </c>
    </row>
    <row r="8" spans="1:20" x14ac:dyDescent="0.55000000000000004">
      <c r="A8">
        <f t="shared" si="2"/>
        <v>3.5</v>
      </c>
      <c r="B8">
        <f t="shared" si="0"/>
        <v>1.003425729425409</v>
      </c>
      <c r="C8">
        <v>-9.7710713744163539E-4</v>
      </c>
      <c r="E8">
        <f t="shared" si="1"/>
        <v>0.9989463184747378</v>
      </c>
      <c r="F8">
        <v>3.0121058225631705E-4</v>
      </c>
      <c r="I8">
        <v>7</v>
      </c>
      <c r="J8" s="1">
        <f>0.275/100</f>
        <v>2.7500000000000003E-3</v>
      </c>
      <c r="K8">
        <f t="shared" si="3"/>
        <v>2.749999792308768E-3</v>
      </c>
      <c r="M8">
        <f>B15</f>
        <v>0.9807711757249219</v>
      </c>
      <c r="N8">
        <f>SUM(B2:B15)/2</f>
        <v>6.9923002644791135</v>
      </c>
      <c r="P8">
        <f>0.52/100</f>
        <v>5.1999999999999998E-3</v>
      </c>
      <c r="Q8">
        <f t="shared" si="4"/>
        <v>5.2000006514171934E-3</v>
      </c>
      <c r="S8">
        <f>E15</f>
        <v>0.96390541498718785</v>
      </c>
      <c r="T8">
        <f>SUM(E2:E15)/2</f>
        <v>6.9412654790677832</v>
      </c>
    </row>
    <row r="9" spans="1:20" x14ac:dyDescent="0.55000000000000004">
      <c r="A9">
        <f t="shared" si="2"/>
        <v>4</v>
      </c>
      <c r="B9">
        <f t="shared" si="0"/>
        <v>1.0014054151535854</v>
      </c>
      <c r="C9">
        <v>-3.5110712051391604E-4</v>
      </c>
      <c r="E9">
        <f t="shared" si="1"/>
        <v>0.99599565088245634</v>
      </c>
      <c r="F9">
        <v>1.0030969977378843E-3</v>
      </c>
      <c r="I9">
        <v>10</v>
      </c>
      <c r="J9" s="1">
        <f>0.66/100</f>
        <v>6.6E-3</v>
      </c>
      <c r="K9">
        <f t="shared" si="3"/>
        <v>6.5999993581992216E-3</v>
      </c>
      <c r="M9">
        <f>B21</f>
        <v>0.93492806663677974</v>
      </c>
      <c r="N9">
        <f>SUM(B2:B21)/2</f>
        <v>9.8593848016638024</v>
      </c>
      <c r="P9">
        <f>0.89/100</f>
        <v>8.8999999999999999E-3</v>
      </c>
      <c r="Q9">
        <f t="shared" si="4"/>
        <v>8.9000008092141852E-3</v>
      </c>
      <c r="S9">
        <f>E21</f>
        <v>0.91323493583021187</v>
      </c>
      <c r="T9">
        <f>SUM(E2:E21)/2</f>
        <v>9.7488827281858352</v>
      </c>
    </row>
    <row r="10" spans="1:20" x14ac:dyDescent="0.55000000000000004">
      <c r="A10">
        <f t="shared" si="2"/>
        <v>4.5</v>
      </c>
      <c r="B10">
        <f t="shared" si="0"/>
        <v>1.0004514304694927</v>
      </c>
      <c r="C10">
        <v>-1.0029524564743043E-4</v>
      </c>
      <c r="E10">
        <f t="shared" si="1"/>
        <v>0.9921204346610254</v>
      </c>
      <c r="F10">
        <v>1.7579495906829834E-3</v>
      </c>
      <c r="J10" s="1"/>
    </row>
    <row r="11" spans="1:20" x14ac:dyDescent="0.55000000000000004">
      <c r="A11">
        <f t="shared" si="2"/>
        <v>5</v>
      </c>
      <c r="B11">
        <f t="shared" si="0"/>
        <v>0.99924769997357243</v>
      </c>
      <c r="C11">
        <v>1.5051662921905518E-4</v>
      </c>
      <c r="E11">
        <f t="shared" si="1"/>
        <v>0.98751458675534298</v>
      </c>
      <c r="F11">
        <v>2.5128021836280825E-3</v>
      </c>
      <c r="J11" s="1"/>
    </row>
    <row r="12" spans="1:20" x14ac:dyDescent="0.55000000000000004">
      <c r="A12">
        <f t="shared" si="2"/>
        <v>5.5</v>
      </c>
      <c r="B12">
        <f t="shared" si="0"/>
        <v>0.99557506059602641</v>
      </c>
      <c r="C12">
        <v>8.0631971359252925E-4</v>
      </c>
      <c r="E12">
        <f t="shared" si="1"/>
        <v>0.98256730177150764</v>
      </c>
      <c r="F12">
        <v>3.1975340098142624E-3</v>
      </c>
    </row>
    <row r="13" spans="1:20" x14ac:dyDescent="0.55000000000000004">
      <c r="A13">
        <f t="shared" si="2"/>
        <v>6</v>
      </c>
      <c r="B13">
        <f t="shared" si="0"/>
        <v>0.99126563138763435</v>
      </c>
      <c r="C13">
        <v>1.4621227979660033E-3</v>
      </c>
      <c r="E13">
        <f t="shared" si="1"/>
        <v>0.97697560649364534</v>
      </c>
      <c r="F13">
        <v>3.8822658360004427E-3</v>
      </c>
    </row>
    <row r="14" spans="1:20" x14ac:dyDescent="0.55000000000000004">
      <c r="A14">
        <f t="shared" si="2"/>
        <v>6.5</v>
      </c>
      <c r="B14">
        <f t="shared" si="0"/>
        <v>0.98632780693777666</v>
      </c>
      <c r="C14">
        <v>2.1179258823394772E-3</v>
      </c>
      <c r="E14">
        <f t="shared" si="1"/>
        <v>0.97075080141866832</v>
      </c>
      <c r="F14">
        <v>4.5669976621866221E-3</v>
      </c>
    </row>
    <row r="15" spans="1:20" x14ac:dyDescent="0.55000000000000004">
      <c r="A15">
        <f t="shared" si="2"/>
        <v>7</v>
      </c>
      <c r="B15">
        <f t="shared" si="0"/>
        <v>0.9807711757249219</v>
      </c>
      <c r="C15">
        <v>2.7737289667129515E-3</v>
      </c>
      <c r="E15">
        <f t="shared" si="1"/>
        <v>0.96390541498718785</v>
      </c>
      <c r="F15">
        <v>5.2517294883728024E-3</v>
      </c>
    </row>
    <row r="16" spans="1:20" x14ac:dyDescent="0.55000000000000004">
      <c r="A16">
        <f t="shared" si="2"/>
        <v>7.5</v>
      </c>
      <c r="B16">
        <f t="shared" si="0"/>
        <v>0.97458209840885979</v>
      </c>
      <c r="C16">
        <v>3.4328689177831012E-3</v>
      </c>
      <c r="E16">
        <f t="shared" si="1"/>
        <v>0.9567926545912514</v>
      </c>
      <c r="F16">
        <v>5.8891430497169488E-3</v>
      </c>
    </row>
    <row r="17" spans="1:6" x14ac:dyDescent="0.55000000000000004">
      <c r="A17">
        <f t="shared" si="2"/>
        <v>8</v>
      </c>
      <c r="B17">
        <f t="shared" si="0"/>
        <v>0.96779395482273156</v>
      </c>
      <c r="C17">
        <v>4.0920088688532509E-3</v>
      </c>
      <c r="E17">
        <f t="shared" si="1"/>
        <v>0.94912720060604883</v>
      </c>
      <c r="F17">
        <v>6.5265566110610952E-3</v>
      </c>
    </row>
    <row r="18" spans="1:6" x14ac:dyDescent="0.55000000000000004">
      <c r="A18">
        <f>A17+0.5</f>
        <v>8.5</v>
      </c>
      <c r="B18">
        <f t="shared" si="0"/>
        <v>0.96041983214369153</v>
      </c>
      <c r="C18">
        <v>4.7511488199234002E-3</v>
      </c>
      <c r="E18">
        <f t="shared" si="1"/>
        <v>0.94092321088167541</v>
      </c>
      <c r="F18">
        <v>7.1639701724052424E-3</v>
      </c>
    </row>
    <row r="19" spans="1:6" x14ac:dyDescent="0.55000000000000004">
      <c r="A19">
        <f t="shared" si="2"/>
        <v>9</v>
      </c>
      <c r="B19">
        <f t="shared" si="0"/>
        <v>0.95247387618107804</v>
      </c>
      <c r="C19">
        <v>5.4102887709935503E-3</v>
      </c>
      <c r="E19">
        <f t="shared" si="1"/>
        <v>0.93219575051982262</v>
      </c>
      <c r="F19">
        <v>7.8013837337493888E-3</v>
      </c>
    </row>
    <row r="20" spans="1:6" x14ac:dyDescent="0.55000000000000004">
      <c r="A20">
        <f>A19+0.5</f>
        <v>9.5</v>
      </c>
      <c r="B20">
        <f t="shared" si="0"/>
        <v>0.94397124617624073</v>
      </c>
      <c r="C20">
        <v>6.0694287220637005E-3</v>
      </c>
      <c r="E20">
        <f t="shared" si="1"/>
        <v>0.9229607458070952</v>
      </c>
      <c r="F20">
        <v>8.438797295093536E-3</v>
      </c>
    </row>
    <row r="21" spans="1:6" x14ac:dyDescent="0.55000000000000004">
      <c r="A21">
        <f>A20+0.5</f>
        <v>10</v>
      </c>
      <c r="B21">
        <f t="shared" si="0"/>
        <v>0.93492806663677974</v>
      </c>
      <c r="C21">
        <v>6.7285686731338498E-3</v>
      </c>
      <c r="E21">
        <f t="shared" si="1"/>
        <v>0.91323493583021187</v>
      </c>
      <c r="F21">
        <v>9.0762108564376824E-3</v>
      </c>
    </row>
    <row r="24" spans="1:6" x14ac:dyDescent="0.55000000000000004">
      <c r="A24" s="2" t="s">
        <v>10</v>
      </c>
    </row>
    <row r="28" spans="1:6" x14ac:dyDescent="0.55000000000000004">
      <c r="A28" s="2" t="s">
        <v>11</v>
      </c>
    </row>
  </sheetData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8" r:id="rId4" name="CommandButton1">
          <controlPr defaultSize="0" autoLine="0" r:id="rId5">
            <anchor moveWithCells="1">
              <from>
                <xdr:col>0</xdr:col>
                <xdr:colOff>339090</xdr:colOff>
                <xdr:row>28</xdr:row>
                <xdr:rowOff>118110</xdr:rowOff>
              </from>
              <to>
                <xdr:col>2</xdr:col>
                <xdr:colOff>45720</xdr:colOff>
                <xdr:row>30</xdr:row>
                <xdr:rowOff>110490</xdr:rowOff>
              </to>
            </anchor>
          </controlPr>
        </control>
      </mc:Choice>
      <mc:Fallback>
        <control shapeId="1028" r:id="rId4" name="CommandButton1"/>
      </mc:Fallback>
    </mc:AlternateContent>
    <mc:AlternateContent xmlns:mc="http://schemas.openxmlformats.org/markup-compatibility/2006">
      <mc:Choice Requires="x14">
        <control shapeId="1027" r:id="rId6" name="A">
          <controlPr defaultSize="0" autoLine="0" r:id="rId7">
            <anchor moveWithCells="1">
              <from>
                <xdr:col>0</xdr:col>
                <xdr:colOff>316230</xdr:colOff>
                <xdr:row>24</xdr:row>
                <xdr:rowOff>30480</xdr:rowOff>
              </from>
              <to>
                <xdr:col>2</xdr:col>
                <xdr:colOff>57150</xdr:colOff>
                <xdr:row>26</xdr:row>
                <xdr:rowOff>22860</xdr:rowOff>
              </to>
            </anchor>
          </controlPr>
        </control>
      </mc:Choice>
      <mc:Fallback>
        <control shapeId="1027" r:id="rId6" name="A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2018-09-06T04:37:31Z</dcterms:modified>
</cp:coreProperties>
</file>