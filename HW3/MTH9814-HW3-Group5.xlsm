
<file path=[Content_Types].xml><?xml version="1.0" encoding="utf-8"?>
<Types xmlns="http://schemas.openxmlformats.org/package/2006/content-types">
  <Default Extension="bin" ContentType="application/vnd.openxmlformats-officedocument.spreadsheetml.printerSettings"/>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827" codeName="{3D1A710C-6663-3D7B-7F91-EC182F24A4BC}"/>
  <workbookPr filterPrivacy="1" codeName="ThisWorkbook"/>
  <xr:revisionPtr revIDLastSave="0" documentId="13_ncr:1_{11E47594-C05A-40CA-83AD-F1E04A0322D3}" xr6:coauthVersionLast="37" xr6:coauthVersionMax="37" xr10:uidLastSave="{00000000-0000-0000-0000-000000000000}"/>
  <bookViews>
    <workbookView xWindow="0" yWindow="0" windowWidth="21570" windowHeight="7320" xr2:uid="{00000000-000D-0000-FFFF-FFFF00000000}"/>
  </bookViews>
  <sheets>
    <sheet name="Grade" sheetId="7" r:id="rId1"/>
    <sheet name="exercise1" sheetId="3" r:id="rId2"/>
    <sheet name="exercise2" sheetId="5" r:id="rId3"/>
    <sheet name="exercise3" sheetId="6" r:id="rId4"/>
    <sheet name="app" sheetId="1" r:id="rId5"/>
  </sheets>
  <calcPr calcId="17902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H8" i="7" l="1"/>
  <c r="C19" i="5" l="1"/>
  <c r="D74" i="5"/>
  <c r="L66" i="5"/>
  <c r="L32" i="5"/>
  <c r="H17" i="5" l="1"/>
  <c r="L17" i="5"/>
  <c r="P17" i="5"/>
  <c r="T17" i="5"/>
  <c r="D19" i="5"/>
  <c r="H19" i="5"/>
  <c r="I19" i="5" s="1"/>
  <c r="L19" i="5"/>
  <c r="M19" i="5" s="1"/>
  <c r="P19" i="5"/>
  <c r="Q19" i="5" s="1"/>
  <c r="T19" i="5"/>
  <c r="U19" i="5" s="1"/>
  <c r="C20" i="5"/>
  <c r="D20" i="5" s="1"/>
  <c r="H20" i="5"/>
  <c r="I20" i="5" s="1"/>
  <c r="L20" i="5"/>
  <c r="M20" i="5" s="1"/>
  <c r="P20" i="5"/>
  <c r="T20" i="5"/>
  <c r="U20" i="5" s="1"/>
  <c r="C21" i="5"/>
  <c r="D21" i="5" s="1"/>
  <c r="H21" i="5"/>
  <c r="I21" i="5" s="1"/>
  <c r="L21" i="5"/>
  <c r="M21" i="5" s="1"/>
  <c r="P21" i="5"/>
  <c r="T21" i="5"/>
  <c r="U21" i="5" s="1"/>
  <c r="C22" i="5"/>
  <c r="D22" i="5" s="1"/>
  <c r="H22" i="5"/>
  <c r="I22" i="5" s="1"/>
  <c r="L22" i="5"/>
  <c r="M22" i="5" s="1"/>
  <c r="P22" i="5"/>
  <c r="T22" i="5"/>
  <c r="U22" i="5" s="1"/>
  <c r="C23" i="5"/>
  <c r="D23" i="5" s="1"/>
  <c r="H23" i="5"/>
  <c r="I23" i="5" s="1"/>
  <c r="L23" i="5"/>
  <c r="M23" i="5" s="1"/>
  <c r="P23" i="5"/>
  <c r="T23" i="5"/>
  <c r="U23" i="5" s="1"/>
  <c r="C24" i="5"/>
  <c r="D24" i="5" s="1"/>
  <c r="H24" i="5"/>
  <c r="I24" i="5" s="1"/>
  <c r="L24" i="5"/>
  <c r="M24" i="5" s="1"/>
  <c r="P24" i="5"/>
  <c r="T24" i="5"/>
  <c r="U24" i="5" s="1"/>
  <c r="C25" i="5"/>
  <c r="D25" i="5" s="1"/>
  <c r="H25" i="5"/>
  <c r="I25" i="5" s="1"/>
  <c r="L25" i="5"/>
  <c r="M25" i="5" s="1"/>
  <c r="P25" i="5"/>
  <c r="Q25" i="5" s="1"/>
  <c r="T25" i="5"/>
  <c r="U25" i="5" s="1"/>
  <c r="C26" i="5"/>
  <c r="D26" i="5" s="1"/>
  <c r="H26" i="5"/>
  <c r="I26" i="5" s="1"/>
  <c r="L26" i="5"/>
  <c r="M26" i="5" s="1"/>
  <c r="P26" i="5"/>
  <c r="Q26" i="5" s="1"/>
  <c r="T26" i="5"/>
  <c r="U26" i="5" s="1"/>
  <c r="C27" i="5"/>
  <c r="D27" i="5" s="1"/>
  <c r="H27" i="5"/>
  <c r="I27" i="5" s="1"/>
  <c r="L27" i="5"/>
  <c r="M27" i="5" s="1"/>
  <c r="P27" i="5"/>
  <c r="Q27" i="5" s="1"/>
  <c r="T27" i="5"/>
  <c r="U27" i="5" s="1"/>
  <c r="C28" i="5"/>
  <c r="D28" i="5" s="1"/>
  <c r="H28" i="5"/>
  <c r="I28" i="5" s="1"/>
  <c r="L28" i="5"/>
  <c r="M28" i="5" s="1"/>
  <c r="P28" i="5"/>
  <c r="T28" i="5"/>
  <c r="U28" i="5" s="1"/>
  <c r="B40" i="5"/>
  <c r="C43" i="5"/>
  <c r="D43" i="5" s="1"/>
  <c r="H43" i="5"/>
  <c r="I43" i="5" s="1"/>
  <c r="L43" i="5"/>
  <c r="M43" i="5" s="1"/>
  <c r="P43" i="5"/>
  <c r="Q43" i="5" s="1"/>
  <c r="T43" i="5"/>
  <c r="U43" i="5" s="1"/>
  <c r="C44" i="5"/>
  <c r="D44" i="5" s="1"/>
  <c r="H44" i="5"/>
  <c r="I44" i="5" s="1"/>
  <c r="L44" i="5"/>
  <c r="M44" i="5" s="1"/>
  <c r="P44" i="5"/>
  <c r="Q44" i="5" s="1"/>
  <c r="T44" i="5"/>
  <c r="U44" i="5" s="1"/>
  <c r="C45" i="5"/>
  <c r="D45" i="5" s="1"/>
  <c r="H45" i="5"/>
  <c r="I45" i="5" s="1"/>
  <c r="L45" i="5"/>
  <c r="M45" i="5" s="1"/>
  <c r="P45" i="5"/>
  <c r="Q45" i="5" s="1"/>
  <c r="T45" i="5"/>
  <c r="U45" i="5" s="1"/>
  <c r="C46" i="5"/>
  <c r="D46" i="5" s="1"/>
  <c r="H46" i="5"/>
  <c r="I46" i="5" s="1"/>
  <c r="L46" i="5"/>
  <c r="M46" i="5" s="1"/>
  <c r="P46" i="5"/>
  <c r="Q46" i="5" s="1"/>
  <c r="T46" i="5"/>
  <c r="U46" i="5" s="1"/>
  <c r="C47" i="5"/>
  <c r="D47" i="5" s="1"/>
  <c r="H47" i="5"/>
  <c r="I47" i="5" s="1"/>
  <c r="L47" i="5"/>
  <c r="M47" i="5" s="1"/>
  <c r="P47" i="5"/>
  <c r="Q47" i="5" s="1"/>
  <c r="T47" i="5"/>
  <c r="U47" i="5" s="1"/>
  <c r="C48" i="5"/>
  <c r="D48" i="5" s="1"/>
  <c r="H48" i="5"/>
  <c r="I48" i="5" s="1"/>
  <c r="L48" i="5"/>
  <c r="M48" i="5" s="1"/>
  <c r="P48" i="5"/>
  <c r="Q48" i="5" s="1"/>
  <c r="T48" i="5"/>
  <c r="U48" i="5" s="1"/>
  <c r="C49" i="5"/>
  <c r="D49" i="5" s="1"/>
  <c r="H49" i="5"/>
  <c r="I49" i="5" s="1"/>
  <c r="L49" i="5"/>
  <c r="M49" i="5" s="1"/>
  <c r="P49" i="5"/>
  <c r="Q49" i="5" s="1"/>
  <c r="T49" i="5"/>
  <c r="U49" i="5" s="1"/>
  <c r="C50" i="5"/>
  <c r="D50" i="5" s="1"/>
  <c r="H50" i="5"/>
  <c r="I50" i="5" s="1"/>
  <c r="L50" i="5"/>
  <c r="M50" i="5" s="1"/>
  <c r="P50" i="5"/>
  <c r="Q50" i="5" s="1"/>
  <c r="T50" i="5"/>
  <c r="U50" i="5" s="1"/>
  <c r="C51" i="5"/>
  <c r="D51" i="5" s="1"/>
  <c r="H51" i="5"/>
  <c r="I51" i="5" s="1"/>
  <c r="L51" i="5"/>
  <c r="M51" i="5" s="1"/>
  <c r="P51" i="5"/>
  <c r="Q51" i="5" s="1"/>
  <c r="T51" i="5"/>
  <c r="U51" i="5" s="1"/>
  <c r="C52" i="5"/>
  <c r="D52" i="5" s="1"/>
  <c r="H52" i="5"/>
  <c r="I52" i="5" s="1"/>
  <c r="L52" i="5"/>
  <c r="M52" i="5" s="1"/>
  <c r="P52" i="5"/>
  <c r="Q52" i="5" s="1"/>
  <c r="T52" i="5"/>
  <c r="U52" i="5" s="1"/>
  <c r="C53" i="5"/>
  <c r="D53" i="5" s="1"/>
  <c r="H53" i="5"/>
  <c r="I53" i="5" s="1"/>
  <c r="L53" i="5"/>
  <c r="M53" i="5" s="1"/>
  <c r="P53" i="5"/>
  <c r="Q53" i="5" s="1"/>
  <c r="T53" i="5"/>
  <c r="U53" i="5" s="1"/>
  <c r="C54" i="5"/>
  <c r="D54" i="5" s="1"/>
  <c r="H54" i="5"/>
  <c r="I54" i="5" s="1"/>
  <c r="L54" i="5"/>
  <c r="M54" i="5" s="1"/>
  <c r="P54" i="5"/>
  <c r="Q54" i="5" s="1"/>
  <c r="T54" i="5"/>
  <c r="U54" i="5" s="1"/>
  <c r="C55" i="5"/>
  <c r="D55" i="5" s="1"/>
  <c r="H55" i="5"/>
  <c r="I55" i="5" s="1"/>
  <c r="L55" i="5"/>
  <c r="M55" i="5" s="1"/>
  <c r="P55" i="5"/>
  <c r="Q55" i="5" s="1"/>
  <c r="T55" i="5"/>
  <c r="U55" i="5" s="1"/>
  <c r="C56" i="5"/>
  <c r="D56" i="5" s="1"/>
  <c r="H56" i="5"/>
  <c r="I56" i="5" s="1"/>
  <c r="L56" i="5"/>
  <c r="M56" i="5" s="1"/>
  <c r="P56" i="5"/>
  <c r="Q56" i="5" s="1"/>
  <c r="T56" i="5"/>
  <c r="U56" i="5" s="1"/>
  <c r="C57" i="5"/>
  <c r="D57" i="5" s="1"/>
  <c r="H57" i="5"/>
  <c r="I57" i="5" s="1"/>
  <c r="L57" i="5"/>
  <c r="M57" i="5" s="1"/>
  <c r="P57" i="5"/>
  <c r="Q57" i="5" s="1"/>
  <c r="T57" i="5"/>
  <c r="U57" i="5" s="1"/>
  <c r="C58" i="5"/>
  <c r="D58" i="5" s="1"/>
  <c r="H58" i="5"/>
  <c r="I58" i="5" s="1"/>
  <c r="L58" i="5"/>
  <c r="M58" i="5" s="1"/>
  <c r="P58" i="5"/>
  <c r="Q58" i="5" s="1"/>
  <c r="T58" i="5"/>
  <c r="U58" i="5" s="1"/>
  <c r="C59" i="5"/>
  <c r="D59" i="5" s="1"/>
  <c r="H59" i="5"/>
  <c r="I59" i="5" s="1"/>
  <c r="L59" i="5"/>
  <c r="M59" i="5" s="1"/>
  <c r="P59" i="5"/>
  <c r="Q59" i="5" s="1"/>
  <c r="T59" i="5"/>
  <c r="U59" i="5" s="1"/>
  <c r="C60" i="5"/>
  <c r="D60" i="5" s="1"/>
  <c r="H60" i="5"/>
  <c r="I60" i="5" s="1"/>
  <c r="L60" i="5"/>
  <c r="M60" i="5" s="1"/>
  <c r="P60" i="5"/>
  <c r="Q60" i="5" s="1"/>
  <c r="T60" i="5"/>
  <c r="U60" i="5" s="1"/>
  <c r="C61" i="5"/>
  <c r="D61" i="5" s="1"/>
  <c r="H61" i="5"/>
  <c r="I61" i="5" s="1"/>
  <c r="L61" i="5"/>
  <c r="M61" i="5" s="1"/>
  <c r="P61" i="5"/>
  <c r="Q61" i="5" s="1"/>
  <c r="T61" i="5"/>
  <c r="U61" i="5" s="1"/>
  <c r="C62" i="5"/>
  <c r="D62" i="5" s="1"/>
  <c r="H62" i="5"/>
  <c r="I62" i="5" s="1"/>
  <c r="L62" i="5"/>
  <c r="M62" i="5" s="1"/>
  <c r="P62" i="5"/>
  <c r="Q62" i="5" s="1"/>
  <c r="T62" i="5"/>
  <c r="U62" i="5" s="1"/>
  <c r="C90" i="5"/>
  <c r="D90" i="5" s="1"/>
  <c r="K90" i="5"/>
  <c r="L90" i="5" s="1"/>
  <c r="C91" i="5"/>
  <c r="D91" i="5" s="1"/>
  <c r="K91" i="5"/>
  <c r="L91" i="5" s="1"/>
  <c r="C92" i="5"/>
  <c r="D92" i="5" s="1"/>
  <c r="K92" i="5"/>
  <c r="L92" i="5" s="1"/>
  <c r="C93" i="5"/>
  <c r="D93" i="5" s="1"/>
  <c r="K93" i="5"/>
  <c r="L93" i="5" s="1"/>
  <c r="C94" i="5"/>
  <c r="D94" i="5" s="1"/>
  <c r="K94" i="5"/>
  <c r="L94" i="5" s="1"/>
  <c r="C95" i="5"/>
  <c r="D95" i="5" s="1"/>
  <c r="K95" i="5"/>
  <c r="L95" i="5" s="1"/>
  <c r="C96" i="5"/>
  <c r="D96" i="5" s="1"/>
  <c r="K96" i="5"/>
  <c r="L96" i="5" s="1"/>
  <c r="C97" i="5"/>
  <c r="D97" i="5" s="1"/>
  <c r="K97" i="5"/>
  <c r="L97" i="5" s="1"/>
  <c r="C98" i="5"/>
  <c r="D98" i="5" s="1"/>
  <c r="K98" i="5"/>
  <c r="L98" i="5" s="1"/>
  <c r="C99" i="5"/>
  <c r="D99" i="5" s="1"/>
  <c r="K99" i="5"/>
  <c r="L99" i="5" s="1"/>
  <c r="Q22" i="5" l="1"/>
  <c r="Q28" i="5"/>
  <c r="Q20" i="5"/>
  <c r="Q23" i="5"/>
  <c r="Q21" i="5"/>
  <c r="Q24" i="5"/>
  <c r="D63" i="5"/>
  <c r="Q29" i="5"/>
  <c r="I29" i="5"/>
  <c r="L100" i="5"/>
  <c r="L103" i="5" s="1"/>
  <c r="L101" i="5"/>
  <c r="L104" i="5" s="1"/>
  <c r="D29" i="5"/>
  <c r="M29" i="5"/>
  <c r="D100" i="5"/>
  <c r="D103" i="5" s="1"/>
  <c r="U63" i="5"/>
  <c r="Q63" i="5"/>
  <c r="M63" i="5"/>
  <c r="I63" i="5"/>
  <c r="U29" i="5"/>
  <c r="C74" i="1"/>
  <c r="D74" i="1" s="1"/>
  <c r="E74" i="1" s="1"/>
  <c r="F74" i="1" s="1"/>
  <c r="G74" i="1" s="1"/>
  <c r="H74" i="1" s="1"/>
  <c r="I74" i="1" s="1"/>
  <c r="J74" i="1" s="1"/>
  <c r="K74" i="1" s="1"/>
  <c r="L74" i="1" s="1"/>
  <c r="M74" i="1" s="1"/>
  <c r="N74" i="1" s="1"/>
  <c r="O74" i="1" s="1"/>
  <c r="P74" i="1" s="1"/>
  <c r="Q74" i="1" s="1"/>
  <c r="R74" i="1" s="1"/>
  <c r="S74" i="1" s="1"/>
  <c r="T74" i="1" s="1"/>
  <c r="U74" i="1" s="1"/>
  <c r="A76" i="1"/>
  <c r="A77" i="1" s="1"/>
  <c r="A78" i="1" s="1"/>
  <c r="A79" i="1" s="1"/>
  <c r="A80" i="1" s="1"/>
  <c r="A81" i="1" s="1"/>
  <c r="A82" i="1" s="1"/>
  <c r="A83" i="1" s="1"/>
  <c r="A84" i="1" s="1"/>
  <c r="A85" i="1" s="1"/>
  <c r="A86" i="1" s="1"/>
  <c r="A87" i="1" s="1"/>
  <c r="A88" i="1" s="1"/>
  <c r="A89" i="1" s="1"/>
  <c r="A90" i="1" s="1"/>
  <c r="A91" i="1" s="1"/>
  <c r="A92" i="1" s="1"/>
  <c r="A93" i="1" s="1"/>
  <c r="A94" i="1" s="1"/>
  <c r="A95" i="1" s="1"/>
  <c r="A96" i="1" s="1"/>
  <c r="A97" i="1" s="1"/>
  <c r="A98" i="1" s="1"/>
  <c r="A99" i="1" s="1"/>
  <c r="C24" i="1"/>
  <c r="D24" i="1" s="1"/>
  <c r="E24" i="1" s="1"/>
  <c r="F24" i="1" s="1"/>
  <c r="G24" i="1" s="1"/>
  <c r="H24" i="1" s="1"/>
  <c r="I24" i="1" s="1"/>
  <c r="J24" i="1" s="1"/>
  <c r="K24" i="1" s="1"/>
  <c r="L24" i="1" s="1"/>
  <c r="M24" i="1" s="1"/>
  <c r="N24" i="1" s="1"/>
  <c r="O24" i="1" s="1"/>
  <c r="P24" i="1" s="1"/>
  <c r="Q24" i="1" s="1"/>
  <c r="R24" i="1" s="1"/>
  <c r="S24" i="1" s="1"/>
  <c r="T24" i="1" s="1"/>
  <c r="U24" i="1" s="1"/>
  <c r="A26" i="1"/>
  <c r="A27" i="1" s="1"/>
  <c r="A28" i="1" s="1"/>
  <c r="A29" i="1" s="1"/>
  <c r="A30" i="1" s="1"/>
  <c r="A31" i="1" s="1"/>
  <c r="A32" i="1" s="1"/>
  <c r="A33" i="1" s="1"/>
  <c r="A34" i="1" s="1"/>
  <c r="A35" i="1" s="1"/>
  <c r="A36" i="1" s="1"/>
  <c r="A37" i="1" s="1"/>
  <c r="A38" i="1" s="1"/>
  <c r="A39" i="1" s="1"/>
  <c r="A40" i="1" s="1"/>
  <c r="A41" i="1" s="1"/>
  <c r="A42" i="1" s="1"/>
  <c r="A43" i="1" s="1"/>
  <c r="A44" i="1" s="1"/>
  <c r="A45" i="1" s="1"/>
  <c r="A46" i="1" s="1"/>
  <c r="A47" i="1" s="1"/>
  <c r="A48" i="1" s="1"/>
  <c r="A49" i="1" s="1"/>
  <c r="B74" i="5" l="1"/>
  <c r="I66" i="5"/>
  <c r="I32" i="5"/>
  <c r="F74" i="5"/>
  <c r="D101" i="5"/>
  <c r="D104" i="5" s="1"/>
</calcChain>
</file>

<file path=xl/sharedStrings.xml><?xml version="1.0" encoding="utf-8"?>
<sst xmlns="http://schemas.openxmlformats.org/spreadsheetml/2006/main" count="158" uniqueCount="98">
  <si>
    <t>1) F is standard normal qf of p</t>
  </si>
  <si>
    <t>p</t>
  </si>
  <si>
    <t>F</t>
  </si>
  <si>
    <t>f\rho</t>
  </si>
  <si>
    <t>2) Fi is a normal distribution with mean sqrt(rho)*f, variance 1-rho</t>
  </si>
  <si>
    <t>3)</t>
  </si>
  <si>
    <t>f</t>
  </si>
  <si>
    <t>rho</t>
  </si>
  <si>
    <t>probability of default</t>
  </si>
  <si>
    <t>user input</t>
  </si>
  <si>
    <t>cutoff F*</t>
  </si>
  <si>
    <t>4)</t>
  </si>
  <si>
    <t>output</t>
  </si>
  <si>
    <t xml:space="preserve">user input </t>
  </si>
  <si>
    <t>l</t>
  </si>
  <si>
    <t>output Prob.</t>
  </si>
  <si>
    <t>5)</t>
  </si>
  <si>
    <t>p=0.25</t>
  </si>
  <si>
    <t>rho=0.1</t>
  </si>
  <si>
    <t>rho=0.9</t>
  </si>
  <si>
    <t>Prob.</t>
  </si>
  <si>
    <t>2. For the following, assume that the risk-free interest rate is 2.5% (expressed with</t>
  </si>
  <si>
    <t>continuous compounding) to all maturities, and the z-spread is 50bp (also expressed</t>
  </si>
  <si>
    <t>continuously) to all maturities.</t>
  </si>
  <si>
    <t>risk-free interest rate</t>
  </si>
  <si>
    <t>(a) What is the NPV per 100 face of a fixed-coupon bond from this issuer paying a</t>
  </si>
  <si>
    <t>2.515% coupon semiannually for five years? Estimate its duration and spread duration</t>
  </si>
  <si>
    <t>via numerical approximation.</t>
  </si>
  <si>
    <t>(b) What is the NPV per 100 face of an FRN from this issuer paying LIBOR flat</t>
  </si>
  <si>
    <t>quarterly for five years? Estimate its duration and spread duration via numerical</t>
  </si>
  <si>
    <t>approximation.</t>
  </si>
  <si>
    <t>when r = r+0.0001</t>
  </si>
  <si>
    <t>when r = r-0.0001</t>
  </si>
  <si>
    <t>when z = z+0.0001</t>
  </si>
  <si>
    <t>when z = z-0.0001</t>
  </si>
  <si>
    <t>r</t>
  </si>
  <si>
    <t>z</t>
  </si>
  <si>
    <t>(c) Consider a portfolio consisting of a long position in the bond from (a) and a short</t>
  </si>
  <si>
    <t>position in the bond from (b), with both positions having 100 face. Calculate the NPV</t>
  </si>
  <si>
    <t>and estimate the duration and spread duration of the portfolio. (Note: Express your</t>
  </si>
  <si>
    <t>durations by dividing the central finite difference estimate of the derivative by –N.)</t>
  </si>
  <si>
    <t>(d) Calculate the NPV and estimate the duration as in (c) of a swap with semiannual</t>
  </si>
  <si>
    <t>payments on the fixed leg and quarterly payments on the float leg paying 2.515% fixed</t>
  </si>
  <si>
    <t>for 5 years. The portfolio above in (c) can be thought of as this same swap contract</t>
  </si>
  <si>
    <t>entered into with a risky counterparty. Does credit risk make an appreciable difference to</t>
  </si>
  <si>
    <t>the value or interest rate sensitivity of the contract? How does this result change if we</t>
  </si>
  <si>
    <t>consider a 6.5% fixed coupon on the risky and risk-free swaps instead of the original</t>
  </si>
  <si>
    <t>coupon?</t>
  </si>
  <si>
    <t>the value or interest rate sensitivity of the contract</t>
  </si>
  <si>
    <t>then this makes an appreciable difference to</t>
    <phoneticPr fontId="3" type="noConversion"/>
  </si>
  <si>
    <t>not an appreciable difference to</t>
    <phoneticPr fontId="3" type="noConversion"/>
  </si>
  <si>
    <t>duration</t>
    <phoneticPr fontId="3" type="noConversion"/>
  </si>
  <si>
    <t>totalValue</t>
    <phoneticPr fontId="3" type="noConversion"/>
  </si>
  <si>
    <t>totalNPV</t>
    <phoneticPr fontId="3" type="noConversion"/>
  </si>
  <si>
    <t>NPV</t>
    <phoneticPr fontId="3" type="noConversion"/>
  </si>
  <si>
    <t>cash_flow</t>
    <phoneticPr fontId="3" type="noConversion"/>
  </si>
  <si>
    <t>t</t>
    <phoneticPr fontId="3" type="noConversion"/>
  </si>
  <si>
    <t>face</t>
    <phoneticPr fontId="3" type="noConversion"/>
  </si>
  <si>
    <t>coupon rate</t>
    <phoneticPr fontId="3" type="noConversion"/>
  </si>
  <si>
    <t>when fixed coupon rate is 6.5%</t>
    <phoneticPr fontId="3" type="noConversion"/>
  </si>
  <si>
    <t>float leg:</t>
    <phoneticPr fontId="3" type="noConversion"/>
  </si>
  <si>
    <t>fixed leg:</t>
    <phoneticPr fontId="3" type="noConversion"/>
  </si>
  <si>
    <t>d)</t>
    <phoneticPr fontId="3" type="noConversion"/>
  </si>
  <si>
    <t xml:space="preserve">spread duration </t>
    <phoneticPr fontId="3" type="noConversion"/>
  </si>
  <si>
    <t>c)</t>
    <phoneticPr fontId="3" type="noConversion"/>
  </si>
  <si>
    <t>total value</t>
    <phoneticPr fontId="3" type="noConversion"/>
  </si>
  <si>
    <t>cash_flow</t>
    <phoneticPr fontId="3" type="noConversion"/>
  </si>
  <si>
    <t>forward rate</t>
    <phoneticPr fontId="3" type="noConversion"/>
  </si>
  <si>
    <t>b)</t>
    <phoneticPr fontId="3" type="noConversion"/>
  </si>
  <si>
    <t>duration</t>
    <phoneticPr fontId="3" type="noConversion"/>
  </si>
  <si>
    <t>total value</t>
    <phoneticPr fontId="3" type="noConversion"/>
  </si>
  <si>
    <t>NPV</t>
    <phoneticPr fontId="3" type="noConversion"/>
  </si>
  <si>
    <t>cash_flow</t>
    <phoneticPr fontId="3" type="noConversion"/>
  </si>
  <si>
    <t>t</t>
    <phoneticPr fontId="3" type="noConversion"/>
  </si>
  <si>
    <t>t</t>
    <phoneticPr fontId="3" type="noConversion"/>
  </si>
  <si>
    <t>t</t>
    <phoneticPr fontId="3" type="noConversion"/>
  </si>
  <si>
    <t>NPV</t>
    <phoneticPr fontId="3" type="noConversion"/>
  </si>
  <si>
    <t>z</t>
    <phoneticPr fontId="3" type="noConversion"/>
  </si>
  <si>
    <t>r</t>
    <phoneticPr fontId="3" type="noConversion"/>
  </si>
  <si>
    <t>when z = z-0.0001</t>
    <phoneticPr fontId="3" type="noConversion"/>
  </si>
  <si>
    <t>when z = z+0.0001</t>
    <phoneticPr fontId="3" type="noConversion"/>
  </si>
  <si>
    <t>when r = r-0.0001</t>
    <phoneticPr fontId="3" type="noConversion"/>
  </si>
  <si>
    <t>when r = r+0.0001</t>
    <phoneticPr fontId="3" type="noConversion"/>
  </si>
  <si>
    <t>face</t>
    <phoneticPr fontId="3" type="noConversion"/>
  </si>
  <si>
    <t>coupon rate</t>
    <phoneticPr fontId="3" type="noConversion"/>
  </si>
  <si>
    <t>a)</t>
    <phoneticPr fontId="3" type="noConversion"/>
  </si>
  <si>
    <t>z-spread</t>
    <phoneticPr fontId="3" type="noConversion"/>
  </si>
  <si>
    <t>If all loans are highly correlate with market factor, then all loans behave in a cluster, the default will depend more on market macro factor, then the variance of balance will be great.Investors may have less loss and may have great loss as well</t>
    <phoneticPr fontId="3" type="noConversion"/>
  </si>
  <si>
    <t>If all loans are less correlate with market factor, then all loans behave individually, like a standard normal distribution, then the variance of balance will be really small, investors will have 25% loss almost for sure</t>
    <phoneticPr fontId="3" type="noConversion"/>
  </si>
  <si>
    <t>exercise2</t>
    <phoneticPr fontId="3" type="noConversion"/>
  </si>
  <si>
    <t>exercise1</t>
    <phoneticPr fontId="1" type="noConversion"/>
  </si>
  <si>
    <t>exercise3</t>
    <phoneticPr fontId="3" type="noConversion"/>
  </si>
  <si>
    <t>(a)</t>
    <phoneticPr fontId="3" type="noConversion"/>
  </si>
  <si>
    <t>(b)</t>
    <phoneticPr fontId="3" type="noConversion"/>
  </si>
  <si>
    <t xml:space="preserve">Problem </t>
  </si>
  <si>
    <t>Weight</t>
  </si>
  <si>
    <t>Score</t>
  </si>
  <si>
    <t>Grade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</si>
</sst>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Calibri"/>
      <family val="2"/>
      <scheme val="minor"/>
    </font>
    <font>
      <b/>
      <sz val="11"/>
      <color theme="1"/>
      <name val="Calibri"/>
      <family val="2"/>
      <scheme val="minor"/>
    </font>
    <font>
      <sz val="10"/>
      <color theme="1"/>
      <name val="Calibri"/>
      <family val="2"/>
      <scheme val="minor"/>
    </font>
    <font>
      <sz val="9"/>
      <name val="Calibri"/>
      <family val="3"/>
      <charset val="134"/>
      <scheme val="minor"/>
    </font>
    <font>
      <b/>
      <sz val="11"/>
      <color theme="1"/>
      <name val="Calibri"/>
      <family val="3"/>
      <charset val="134"/>
      <scheme val="minor"/>
    </font>
    <font>
      <sz val="11"/>
      <color theme="1"/>
      <name val="Calibri"/>
      <family val="2"/>
      <scheme val="minor"/>
    </font>
    <font>
      <b/>
      <sz val="11"/>
      <color rgb="FFFF0000"/>
      <name val="Calibri"/>
      <family val="2"/>
      <scheme val="minor"/>
    </font>
  </fonts>
  <fills count="4">
    <fill>
      <patternFill patternType="none"/>
    </fill>
    <fill>
      <patternFill patternType="gray125"/>
    </fill>
    <fill>
      <patternFill patternType="solid">
        <fgColor rgb="FF92D050"/>
        <bgColor indexed="64"/>
      </patternFill>
    </fill>
    <fill>
      <patternFill patternType="solid">
        <fgColor rgb="FFFFFF00"/>
        <bgColor indexed="64"/>
      </patternFill>
    </fill>
  </fills>
  <borders count="1">
    <border>
      <left/>
      <right/>
      <top/>
      <bottom/>
      <diagonal/>
    </border>
  </borders>
  <cellStyleXfs count="2">
    <xf numFmtId="0" fontId="0" fillId="0" borderId="0"/>
    <xf numFmtId="9" fontId="5" fillId="0" borderId="0" applyFont="0" applyFill="0" applyBorder="0" applyAlignment="0" applyProtection="0"/>
  </cellStyleXfs>
  <cellXfs count="12">
    <xf numFmtId="0" fontId="0" fillId="0" borderId="0" xfId="0"/>
    <xf numFmtId="0" fontId="1" fillId="0" borderId="0" xfId="0" applyFont="1"/>
    <xf numFmtId="0" fontId="2" fillId="0" borderId="0" xfId="0" applyFont="1"/>
    <xf numFmtId="0" fontId="0" fillId="0" borderId="0" xfId="0" applyFont="1"/>
    <xf numFmtId="0" fontId="0" fillId="2" borderId="0" xfId="0" applyFill="1"/>
    <xf numFmtId="0" fontId="0" fillId="3" borderId="0" xfId="0" applyFill="1"/>
    <xf numFmtId="0" fontId="4" fillId="0" borderId="0" xfId="0" applyFont="1"/>
    <xf numFmtId="0" fontId="4" fillId="2" borderId="0" xfId="0" applyFont="1" applyFill="1"/>
    <xf numFmtId="0" fontId="0" fillId="0" borderId="0" xfId="0" applyAlignment="1">
      <alignment horizontal="center"/>
    </xf>
    <xf numFmtId="9" fontId="0" fillId="0" borderId="0" xfId="1" applyFont="1" applyAlignment="1">
      <alignment horizontal="center"/>
    </xf>
    <xf numFmtId="0" fontId="6" fillId="0" borderId="0" xfId="0" applyFont="1" applyAlignment="1">
      <alignment horizontal="center"/>
    </xf>
    <xf numFmtId="9" fontId="6" fillId="0" borderId="0" xfId="1" applyFont="1" applyAlignment="1">
      <alignment horizontal="center"/>
    </xf>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F-p</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app!$A$3:$A$20</c:f>
              <c:numCache>
                <c:formatCode>General</c:formatCode>
                <c:ptCount val="18"/>
                <c:pt idx="0">
                  <c:v>0.05</c:v>
                </c:pt>
                <c:pt idx="1">
                  <c:v>0.1</c:v>
                </c:pt>
                <c:pt idx="2">
                  <c:v>0.15000000000000002</c:v>
                </c:pt>
                <c:pt idx="3">
                  <c:v>0.2</c:v>
                </c:pt>
                <c:pt idx="4">
                  <c:v>0.25</c:v>
                </c:pt>
                <c:pt idx="5">
                  <c:v>0.3</c:v>
                </c:pt>
                <c:pt idx="6">
                  <c:v>0.35</c:v>
                </c:pt>
                <c:pt idx="7">
                  <c:v>0.39999999999999997</c:v>
                </c:pt>
                <c:pt idx="8">
                  <c:v>0.44999999999999996</c:v>
                </c:pt>
                <c:pt idx="9">
                  <c:v>0.49999999999999994</c:v>
                </c:pt>
                <c:pt idx="10">
                  <c:v>0.54999999999999993</c:v>
                </c:pt>
                <c:pt idx="11">
                  <c:v>0.6</c:v>
                </c:pt>
                <c:pt idx="12">
                  <c:v>0.65</c:v>
                </c:pt>
                <c:pt idx="13">
                  <c:v>0.70000000000000007</c:v>
                </c:pt>
                <c:pt idx="14">
                  <c:v>0.75000000000000011</c:v>
                </c:pt>
                <c:pt idx="15">
                  <c:v>0.80000000000000016</c:v>
                </c:pt>
                <c:pt idx="16">
                  <c:v>0.8500000000000002</c:v>
                </c:pt>
                <c:pt idx="17">
                  <c:v>0.90000000000000024</c:v>
                </c:pt>
              </c:numCache>
            </c:numRef>
          </c:xVal>
          <c:yVal>
            <c:numRef>
              <c:f>app!$B$3:$B$20</c:f>
              <c:numCache>
                <c:formatCode>General</c:formatCode>
                <c:ptCount val="18"/>
                <c:pt idx="0">
                  <c:v>-1.64485362695147</c:v>
                </c:pt>
                <c:pt idx="1">
                  <c:v>-1.2815515655446006</c:v>
                </c:pt>
                <c:pt idx="2">
                  <c:v>-1.0364333894937898</c:v>
                </c:pt>
                <c:pt idx="3">
                  <c:v>-0.84162123357291452</c:v>
                </c:pt>
                <c:pt idx="4">
                  <c:v>-0.67448975019608193</c:v>
                </c:pt>
                <c:pt idx="5">
                  <c:v>-0.52440051270804089</c:v>
                </c:pt>
                <c:pt idx="6">
                  <c:v>-0.38532046640756784</c:v>
                </c:pt>
                <c:pt idx="7">
                  <c:v>-0.25334710313579989</c:v>
                </c:pt>
                <c:pt idx="8">
                  <c:v>-0.12566134685507416</c:v>
                </c:pt>
                <c:pt idx="9">
                  <c:v>-1.3914582123358836E-16</c:v>
                </c:pt>
                <c:pt idx="10">
                  <c:v>0.12566134685507385</c:v>
                </c:pt>
                <c:pt idx="11">
                  <c:v>0.25334710313579978</c:v>
                </c:pt>
                <c:pt idx="12">
                  <c:v>0.38532046640756784</c:v>
                </c:pt>
                <c:pt idx="13">
                  <c:v>0.524400512708041</c:v>
                </c:pt>
                <c:pt idx="14">
                  <c:v>0.67448975019608215</c:v>
                </c:pt>
                <c:pt idx="15">
                  <c:v>0.84162123357291396</c:v>
                </c:pt>
                <c:pt idx="16">
                  <c:v>1.0364333894937894</c:v>
                </c:pt>
                <c:pt idx="17">
                  <c:v>1.2815515655446028</c:v>
                </c:pt>
              </c:numCache>
            </c:numRef>
          </c:yVal>
          <c:smooth val="1"/>
          <c:extLst>
            <c:ext xmlns:c16="http://schemas.microsoft.com/office/drawing/2014/chart" uri="{C3380CC4-5D6E-409C-BE32-E72D297353CC}">
              <c16:uniqueId val="{00000000-1147-4FDC-B498-70AC4C3D1159}"/>
            </c:ext>
          </c:extLst>
        </c:ser>
        <c:dLbls>
          <c:showLegendKey val="0"/>
          <c:showVal val="0"/>
          <c:showCatName val="0"/>
          <c:showSerName val="0"/>
          <c:showPercent val="0"/>
          <c:showBubbleSize val="0"/>
        </c:dLbls>
        <c:axId val="1282877936"/>
        <c:axId val="1282879600"/>
      </c:scatterChart>
      <c:valAx>
        <c:axId val="128287793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2879600"/>
        <c:crosses val="autoZero"/>
        <c:crossBetween val="midCat"/>
      </c:valAx>
      <c:valAx>
        <c:axId val="12828796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287793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800" b="0" i="0" baseline="0">
                <a:effectLst/>
              </a:rPr>
              <a:t>mean F - (f, rho)</a:t>
            </a:r>
            <a:endParaRPr lang="en-US">
              <a:effectLst/>
            </a:endParaRPr>
          </a:p>
        </c:rich>
      </c:tx>
      <c:overlay val="0"/>
      <c:spPr>
        <a:noFill/>
        <a:ln>
          <a:noFill/>
        </a:ln>
        <a:effectLst/>
      </c:spPr>
    </c:title>
    <c:autoTitleDeleted val="0"/>
    <c:view3D>
      <c:rotX val="15"/>
      <c:rotY val="2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surface3DChart>
        <c:wireframe val="1"/>
        <c:ser>
          <c:idx val="0"/>
          <c:order val="0"/>
          <c:spPr>
            <a:ln w="9525" cap="rnd">
              <a:solidFill>
                <a:schemeClr val="accent1"/>
              </a:solidFill>
              <a:round/>
            </a:ln>
            <a:effectLst/>
          </c:spPr>
          <c:val>
            <c:numRef>
              <c:f>app!$B$25:$B$49</c:f>
              <c:numCache>
                <c:formatCode>General</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extLst>
            <c:ext xmlns:c16="http://schemas.microsoft.com/office/drawing/2014/chart" uri="{C3380CC4-5D6E-409C-BE32-E72D297353CC}">
              <c16:uniqueId val="{00000000-92D5-4836-A1EE-1BBAFA468B43}"/>
            </c:ext>
          </c:extLst>
        </c:ser>
        <c:ser>
          <c:idx val="1"/>
          <c:order val="1"/>
          <c:spPr>
            <a:ln w="9525" cap="rnd">
              <a:solidFill>
                <a:schemeClr val="accent2"/>
              </a:solidFill>
              <a:round/>
            </a:ln>
            <a:effectLst/>
          </c:spPr>
          <c:val>
            <c:numRef>
              <c:f>app!$C$25:$C$49</c:f>
              <c:numCache>
                <c:formatCode>General</c:formatCode>
                <c:ptCount val="25"/>
                <c:pt idx="0">
                  <c:v>-0.67082039324993692</c:v>
                </c:pt>
                <c:pt idx="1">
                  <c:v>-0.61491869381244213</c:v>
                </c:pt>
                <c:pt idx="2">
                  <c:v>-0.55901699437494745</c:v>
                </c:pt>
                <c:pt idx="3">
                  <c:v>-0.50311529493745266</c:v>
                </c:pt>
                <c:pt idx="4">
                  <c:v>-0.44721359549995793</c:v>
                </c:pt>
                <c:pt idx="5">
                  <c:v>-0.39131189606246319</c:v>
                </c:pt>
                <c:pt idx="6">
                  <c:v>-0.33541019662496846</c:v>
                </c:pt>
                <c:pt idx="7">
                  <c:v>-0.27950849718747373</c:v>
                </c:pt>
                <c:pt idx="8">
                  <c:v>-0.22360679774997896</c:v>
                </c:pt>
                <c:pt idx="9">
                  <c:v>-0.16770509831248423</c:v>
                </c:pt>
                <c:pt idx="10">
                  <c:v>-0.11180339887498948</c:v>
                </c:pt>
                <c:pt idx="11">
                  <c:v>-5.5901699437494741E-2</c:v>
                </c:pt>
                <c:pt idx="12">
                  <c:v>0</c:v>
                </c:pt>
                <c:pt idx="13">
                  <c:v>5.5901699437494741E-2</c:v>
                </c:pt>
                <c:pt idx="14">
                  <c:v>0.11180339887498948</c:v>
                </c:pt>
                <c:pt idx="15">
                  <c:v>0.16770509831248423</c:v>
                </c:pt>
                <c:pt idx="16">
                  <c:v>0.22360679774997896</c:v>
                </c:pt>
                <c:pt idx="17">
                  <c:v>0.27950849718747373</c:v>
                </c:pt>
                <c:pt idx="18">
                  <c:v>0.33541019662496846</c:v>
                </c:pt>
                <c:pt idx="19">
                  <c:v>0.39131189606246319</c:v>
                </c:pt>
                <c:pt idx="20">
                  <c:v>0.44721359549995793</c:v>
                </c:pt>
                <c:pt idx="21">
                  <c:v>0.50311529493745266</c:v>
                </c:pt>
                <c:pt idx="22">
                  <c:v>0.55901699437494745</c:v>
                </c:pt>
                <c:pt idx="23">
                  <c:v>0.61491869381244213</c:v>
                </c:pt>
                <c:pt idx="24">
                  <c:v>0.67082039324993692</c:v>
                </c:pt>
              </c:numCache>
            </c:numRef>
          </c:val>
          <c:extLst>
            <c:ext xmlns:c16="http://schemas.microsoft.com/office/drawing/2014/chart" uri="{C3380CC4-5D6E-409C-BE32-E72D297353CC}">
              <c16:uniqueId val="{00000001-92D5-4836-A1EE-1BBAFA468B43}"/>
            </c:ext>
          </c:extLst>
        </c:ser>
        <c:ser>
          <c:idx val="2"/>
          <c:order val="2"/>
          <c:spPr>
            <a:ln w="9525" cap="rnd">
              <a:solidFill>
                <a:schemeClr val="accent3"/>
              </a:solidFill>
              <a:round/>
            </a:ln>
            <a:effectLst/>
          </c:spPr>
          <c:val>
            <c:numRef>
              <c:f>app!$D$25:$D$49</c:f>
              <c:numCache>
                <c:formatCode>General</c:formatCode>
                <c:ptCount val="25"/>
                <c:pt idx="0">
                  <c:v>-0.94868329805051377</c:v>
                </c:pt>
                <c:pt idx="1">
                  <c:v>-0.86962635654630438</c:v>
                </c:pt>
                <c:pt idx="2">
                  <c:v>-0.79056941504209488</c:v>
                </c:pt>
                <c:pt idx="3">
                  <c:v>-0.71151247353788538</c:v>
                </c:pt>
                <c:pt idx="4">
                  <c:v>-0.63245553203367588</c:v>
                </c:pt>
                <c:pt idx="5">
                  <c:v>-0.55339859052946638</c:v>
                </c:pt>
                <c:pt idx="6">
                  <c:v>-0.47434164902525688</c:v>
                </c:pt>
                <c:pt idx="7">
                  <c:v>-0.39528470752104744</c:v>
                </c:pt>
                <c:pt idx="8">
                  <c:v>-0.31622776601683794</c:v>
                </c:pt>
                <c:pt idx="9">
                  <c:v>-0.23717082451262844</c:v>
                </c:pt>
                <c:pt idx="10">
                  <c:v>-0.15811388300841897</c:v>
                </c:pt>
                <c:pt idx="11">
                  <c:v>-7.9056941504209485E-2</c:v>
                </c:pt>
                <c:pt idx="12">
                  <c:v>0</c:v>
                </c:pt>
                <c:pt idx="13">
                  <c:v>7.9056941504209485E-2</c:v>
                </c:pt>
                <c:pt idx="14">
                  <c:v>0.15811388300841897</c:v>
                </c:pt>
                <c:pt idx="15">
                  <c:v>0.23717082451262844</c:v>
                </c:pt>
                <c:pt idx="16">
                  <c:v>0.31622776601683794</c:v>
                </c:pt>
                <c:pt idx="17">
                  <c:v>0.39528470752104744</c:v>
                </c:pt>
                <c:pt idx="18">
                  <c:v>0.47434164902525688</c:v>
                </c:pt>
                <c:pt idx="19">
                  <c:v>0.55339859052946638</c:v>
                </c:pt>
                <c:pt idx="20">
                  <c:v>0.63245553203367588</c:v>
                </c:pt>
                <c:pt idx="21">
                  <c:v>0.71151247353788538</c:v>
                </c:pt>
                <c:pt idx="22">
                  <c:v>0.79056941504209488</c:v>
                </c:pt>
                <c:pt idx="23">
                  <c:v>0.86962635654630438</c:v>
                </c:pt>
                <c:pt idx="24">
                  <c:v>0.94868329805051377</c:v>
                </c:pt>
              </c:numCache>
            </c:numRef>
          </c:val>
          <c:extLst>
            <c:ext xmlns:c16="http://schemas.microsoft.com/office/drawing/2014/chart" uri="{C3380CC4-5D6E-409C-BE32-E72D297353CC}">
              <c16:uniqueId val="{00000002-92D5-4836-A1EE-1BBAFA468B43}"/>
            </c:ext>
          </c:extLst>
        </c:ser>
        <c:ser>
          <c:idx val="3"/>
          <c:order val="3"/>
          <c:spPr>
            <a:ln w="9525" cap="rnd">
              <a:solidFill>
                <a:schemeClr val="accent4"/>
              </a:solidFill>
              <a:round/>
            </a:ln>
            <a:effectLst/>
          </c:spPr>
          <c:val>
            <c:numRef>
              <c:f>app!$E$25:$E$49</c:f>
              <c:numCache>
                <c:formatCode>General</c:formatCode>
                <c:ptCount val="25"/>
                <c:pt idx="0">
                  <c:v>-1.1618950038622251</c:v>
                </c:pt>
                <c:pt idx="1">
                  <c:v>-1.0650704202070398</c:v>
                </c:pt>
                <c:pt idx="2">
                  <c:v>-0.96824583655185426</c:v>
                </c:pt>
                <c:pt idx="3">
                  <c:v>-0.87142125289666883</c:v>
                </c:pt>
                <c:pt idx="4">
                  <c:v>-0.7745966692414834</c:v>
                </c:pt>
                <c:pt idx="5">
                  <c:v>-0.67777208558629798</c:v>
                </c:pt>
                <c:pt idx="6">
                  <c:v>-0.58094750193111255</c:v>
                </c:pt>
                <c:pt idx="7">
                  <c:v>-0.48412291827592713</c:v>
                </c:pt>
                <c:pt idx="8">
                  <c:v>-0.3872983346207417</c:v>
                </c:pt>
                <c:pt idx="9">
                  <c:v>-0.29047375096555628</c:v>
                </c:pt>
                <c:pt idx="10">
                  <c:v>-0.19364916731037085</c:v>
                </c:pt>
                <c:pt idx="11">
                  <c:v>-9.6824583655185426E-2</c:v>
                </c:pt>
                <c:pt idx="12">
                  <c:v>0</c:v>
                </c:pt>
                <c:pt idx="13">
                  <c:v>9.6824583655185426E-2</c:v>
                </c:pt>
                <c:pt idx="14">
                  <c:v>0.19364916731037085</c:v>
                </c:pt>
                <c:pt idx="15">
                  <c:v>0.29047375096555628</c:v>
                </c:pt>
                <c:pt idx="16">
                  <c:v>0.3872983346207417</c:v>
                </c:pt>
                <c:pt idx="17">
                  <c:v>0.48412291827592713</c:v>
                </c:pt>
                <c:pt idx="18">
                  <c:v>0.58094750193111255</c:v>
                </c:pt>
                <c:pt idx="19">
                  <c:v>0.67777208558629798</c:v>
                </c:pt>
                <c:pt idx="20">
                  <c:v>0.7745966692414834</c:v>
                </c:pt>
                <c:pt idx="21">
                  <c:v>0.87142125289666883</c:v>
                </c:pt>
                <c:pt idx="22">
                  <c:v>0.96824583655185426</c:v>
                </c:pt>
                <c:pt idx="23">
                  <c:v>1.0650704202070398</c:v>
                </c:pt>
                <c:pt idx="24">
                  <c:v>1.1618950038622251</c:v>
                </c:pt>
              </c:numCache>
            </c:numRef>
          </c:val>
          <c:extLst>
            <c:ext xmlns:c16="http://schemas.microsoft.com/office/drawing/2014/chart" uri="{C3380CC4-5D6E-409C-BE32-E72D297353CC}">
              <c16:uniqueId val="{00000003-92D5-4836-A1EE-1BBAFA468B43}"/>
            </c:ext>
          </c:extLst>
        </c:ser>
        <c:ser>
          <c:idx val="4"/>
          <c:order val="4"/>
          <c:spPr>
            <a:ln w="9525" cap="rnd">
              <a:solidFill>
                <a:schemeClr val="accent5"/>
              </a:solidFill>
              <a:round/>
            </a:ln>
            <a:effectLst/>
          </c:spPr>
          <c:val>
            <c:numRef>
              <c:f>app!$F$25:$F$49</c:f>
              <c:numCache>
                <c:formatCode>General</c:formatCode>
                <c:ptCount val="25"/>
                <c:pt idx="0">
                  <c:v>-1.3416407864998738</c:v>
                </c:pt>
                <c:pt idx="1">
                  <c:v>-1.2298373876248843</c:v>
                </c:pt>
                <c:pt idx="2">
                  <c:v>-1.1180339887498949</c:v>
                </c:pt>
                <c:pt idx="3">
                  <c:v>-1.0062305898749053</c:v>
                </c:pt>
                <c:pt idx="4">
                  <c:v>-0.89442719099991586</c:v>
                </c:pt>
                <c:pt idx="5">
                  <c:v>-0.78262379212492639</c:v>
                </c:pt>
                <c:pt idx="6">
                  <c:v>-0.67082039324993692</c:v>
                </c:pt>
                <c:pt idx="7">
                  <c:v>-0.55901699437494745</c:v>
                </c:pt>
                <c:pt idx="8">
                  <c:v>-0.44721359549995793</c:v>
                </c:pt>
                <c:pt idx="9">
                  <c:v>-0.33541019662496846</c:v>
                </c:pt>
                <c:pt idx="10">
                  <c:v>-0.22360679774997896</c:v>
                </c:pt>
                <c:pt idx="11">
                  <c:v>-0.11180339887498948</c:v>
                </c:pt>
                <c:pt idx="12">
                  <c:v>0</c:v>
                </c:pt>
                <c:pt idx="13">
                  <c:v>0.11180339887498948</c:v>
                </c:pt>
                <c:pt idx="14">
                  <c:v>0.22360679774997896</c:v>
                </c:pt>
                <c:pt idx="15">
                  <c:v>0.33541019662496846</c:v>
                </c:pt>
                <c:pt idx="16">
                  <c:v>0.44721359549995793</c:v>
                </c:pt>
                <c:pt idx="17">
                  <c:v>0.55901699437494745</c:v>
                </c:pt>
                <c:pt idx="18">
                  <c:v>0.67082039324993692</c:v>
                </c:pt>
                <c:pt idx="19">
                  <c:v>0.78262379212492639</c:v>
                </c:pt>
                <c:pt idx="20">
                  <c:v>0.89442719099991586</c:v>
                </c:pt>
                <c:pt idx="21">
                  <c:v>1.0062305898749053</c:v>
                </c:pt>
                <c:pt idx="22">
                  <c:v>1.1180339887498949</c:v>
                </c:pt>
                <c:pt idx="23">
                  <c:v>1.2298373876248843</c:v>
                </c:pt>
                <c:pt idx="24">
                  <c:v>1.3416407864998738</c:v>
                </c:pt>
              </c:numCache>
            </c:numRef>
          </c:val>
          <c:extLst>
            <c:ext xmlns:c16="http://schemas.microsoft.com/office/drawing/2014/chart" uri="{C3380CC4-5D6E-409C-BE32-E72D297353CC}">
              <c16:uniqueId val="{00000004-92D5-4836-A1EE-1BBAFA468B43}"/>
            </c:ext>
          </c:extLst>
        </c:ser>
        <c:ser>
          <c:idx val="5"/>
          <c:order val="5"/>
          <c:spPr>
            <a:ln w="9525" cap="rnd">
              <a:solidFill>
                <a:schemeClr val="accent6"/>
              </a:solidFill>
              <a:round/>
            </a:ln>
            <a:effectLst/>
          </c:spPr>
          <c:val>
            <c:numRef>
              <c:f>app!$G$25:$G$49</c:f>
              <c:numCache>
                <c:formatCode>General</c:formatCode>
                <c:ptCount val="25"/>
                <c:pt idx="0">
                  <c:v>-1.5</c:v>
                </c:pt>
                <c:pt idx="1">
                  <c:v>-1.375</c:v>
                </c:pt>
                <c:pt idx="2">
                  <c:v>-1.25</c:v>
                </c:pt>
                <c:pt idx="3">
                  <c:v>-1.125</c:v>
                </c:pt>
                <c:pt idx="4">
                  <c:v>-1</c:v>
                </c:pt>
                <c:pt idx="5">
                  <c:v>-0.875</c:v>
                </c:pt>
                <c:pt idx="6">
                  <c:v>-0.75</c:v>
                </c:pt>
                <c:pt idx="7">
                  <c:v>-0.625</c:v>
                </c:pt>
                <c:pt idx="8">
                  <c:v>-0.5</c:v>
                </c:pt>
                <c:pt idx="9">
                  <c:v>-0.375</c:v>
                </c:pt>
                <c:pt idx="10">
                  <c:v>-0.25</c:v>
                </c:pt>
                <c:pt idx="11">
                  <c:v>-0.125</c:v>
                </c:pt>
                <c:pt idx="12">
                  <c:v>0</c:v>
                </c:pt>
                <c:pt idx="13">
                  <c:v>0.125</c:v>
                </c:pt>
                <c:pt idx="14">
                  <c:v>0.25</c:v>
                </c:pt>
                <c:pt idx="15">
                  <c:v>0.375</c:v>
                </c:pt>
                <c:pt idx="16">
                  <c:v>0.5</c:v>
                </c:pt>
                <c:pt idx="17">
                  <c:v>0.625</c:v>
                </c:pt>
                <c:pt idx="18">
                  <c:v>0.75</c:v>
                </c:pt>
                <c:pt idx="19">
                  <c:v>0.875</c:v>
                </c:pt>
                <c:pt idx="20">
                  <c:v>1</c:v>
                </c:pt>
                <c:pt idx="21">
                  <c:v>1.125</c:v>
                </c:pt>
                <c:pt idx="22">
                  <c:v>1.25</c:v>
                </c:pt>
                <c:pt idx="23">
                  <c:v>1.375</c:v>
                </c:pt>
                <c:pt idx="24">
                  <c:v>1.5</c:v>
                </c:pt>
              </c:numCache>
            </c:numRef>
          </c:val>
          <c:extLst>
            <c:ext xmlns:c16="http://schemas.microsoft.com/office/drawing/2014/chart" uri="{C3380CC4-5D6E-409C-BE32-E72D297353CC}">
              <c16:uniqueId val="{00000005-92D5-4836-A1EE-1BBAFA468B43}"/>
            </c:ext>
          </c:extLst>
        </c:ser>
        <c:ser>
          <c:idx val="6"/>
          <c:order val="6"/>
          <c:spPr>
            <a:ln w="9525" cap="rnd">
              <a:solidFill>
                <a:schemeClr val="accent1">
                  <a:lumMod val="60000"/>
                </a:schemeClr>
              </a:solidFill>
              <a:round/>
            </a:ln>
            <a:effectLst/>
          </c:spPr>
          <c:val>
            <c:numRef>
              <c:f>app!$H$25:$H$49</c:f>
              <c:numCache>
                <c:formatCode>General</c:formatCode>
                <c:ptCount val="25"/>
                <c:pt idx="0">
                  <c:v>-1.6431676725154982</c:v>
                </c:pt>
                <c:pt idx="1">
                  <c:v>-1.5062370331392068</c:v>
                </c:pt>
                <c:pt idx="2">
                  <c:v>-1.3693063937629151</c:v>
                </c:pt>
                <c:pt idx="3">
                  <c:v>-1.2323757543866236</c:v>
                </c:pt>
                <c:pt idx="4">
                  <c:v>-1.0954451150103321</c:v>
                </c:pt>
                <c:pt idx="5">
                  <c:v>-0.95851447563404069</c:v>
                </c:pt>
                <c:pt idx="6">
                  <c:v>-0.82158383625774911</c:v>
                </c:pt>
                <c:pt idx="7">
                  <c:v>-0.68465319688145754</c:v>
                </c:pt>
                <c:pt idx="8">
                  <c:v>-0.54772255750516607</c:v>
                </c:pt>
                <c:pt idx="9">
                  <c:v>-0.41079191812887456</c:v>
                </c:pt>
                <c:pt idx="10">
                  <c:v>-0.27386127875258304</c:v>
                </c:pt>
                <c:pt idx="11">
                  <c:v>-0.13693063937629152</c:v>
                </c:pt>
                <c:pt idx="12">
                  <c:v>0</c:v>
                </c:pt>
                <c:pt idx="13">
                  <c:v>0.13693063937629152</c:v>
                </c:pt>
                <c:pt idx="14">
                  <c:v>0.27386127875258304</c:v>
                </c:pt>
                <c:pt idx="15">
                  <c:v>0.41079191812887456</c:v>
                </c:pt>
                <c:pt idx="16">
                  <c:v>0.54772255750516607</c:v>
                </c:pt>
                <c:pt idx="17">
                  <c:v>0.68465319688145754</c:v>
                </c:pt>
                <c:pt idx="18">
                  <c:v>0.82158383625774911</c:v>
                </c:pt>
                <c:pt idx="19">
                  <c:v>0.95851447563404069</c:v>
                </c:pt>
                <c:pt idx="20">
                  <c:v>1.0954451150103321</c:v>
                </c:pt>
                <c:pt idx="21">
                  <c:v>1.2323757543866236</c:v>
                </c:pt>
                <c:pt idx="22">
                  <c:v>1.3693063937629151</c:v>
                </c:pt>
                <c:pt idx="23">
                  <c:v>1.5062370331392068</c:v>
                </c:pt>
                <c:pt idx="24">
                  <c:v>1.6431676725154982</c:v>
                </c:pt>
              </c:numCache>
            </c:numRef>
          </c:val>
          <c:extLst>
            <c:ext xmlns:c16="http://schemas.microsoft.com/office/drawing/2014/chart" uri="{C3380CC4-5D6E-409C-BE32-E72D297353CC}">
              <c16:uniqueId val="{00000006-92D5-4836-A1EE-1BBAFA468B43}"/>
            </c:ext>
          </c:extLst>
        </c:ser>
        <c:ser>
          <c:idx val="7"/>
          <c:order val="7"/>
          <c:spPr>
            <a:ln w="9525" cap="rnd">
              <a:solidFill>
                <a:schemeClr val="accent2">
                  <a:lumMod val="60000"/>
                </a:schemeClr>
              </a:solidFill>
              <a:round/>
            </a:ln>
            <a:effectLst/>
          </c:spPr>
          <c:val>
            <c:numRef>
              <c:f>app!$I$25:$I$49</c:f>
              <c:numCache>
                <c:formatCode>General</c:formatCode>
                <c:ptCount val="25"/>
                <c:pt idx="0">
                  <c:v>-1.7748239349298847</c:v>
                </c:pt>
                <c:pt idx="1">
                  <c:v>-1.6269219403523945</c:v>
                </c:pt>
                <c:pt idx="2">
                  <c:v>-1.479019945774904</c:v>
                </c:pt>
                <c:pt idx="3">
                  <c:v>-1.3311179511974136</c:v>
                </c:pt>
                <c:pt idx="4">
                  <c:v>-1.1832159566199232</c:v>
                </c:pt>
                <c:pt idx="5">
                  <c:v>-1.0353139620424328</c:v>
                </c:pt>
                <c:pt idx="6">
                  <c:v>-0.88741196746494233</c:v>
                </c:pt>
                <c:pt idx="7">
                  <c:v>-0.73950997288745202</c:v>
                </c:pt>
                <c:pt idx="8">
                  <c:v>-0.59160797830996159</c:v>
                </c:pt>
                <c:pt idx="9">
                  <c:v>-0.44370598373247117</c:v>
                </c:pt>
                <c:pt idx="10">
                  <c:v>-0.2958039891549808</c:v>
                </c:pt>
                <c:pt idx="11">
                  <c:v>-0.1479019945774904</c:v>
                </c:pt>
                <c:pt idx="12">
                  <c:v>0</c:v>
                </c:pt>
                <c:pt idx="13">
                  <c:v>0.1479019945774904</c:v>
                </c:pt>
                <c:pt idx="14">
                  <c:v>0.2958039891549808</c:v>
                </c:pt>
                <c:pt idx="15">
                  <c:v>0.44370598373247117</c:v>
                </c:pt>
                <c:pt idx="16">
                  <c:v>0.59160797830996159</c:v>
                </c:pt>
                <c:pt idx="17">
                  <c:v>0.73950997288745202</c:v>
                </c:pt>
                <c:pt idx="18">
                  <c:v>0.88741196746494233</c:v>
                </c:pt>
                <c:pt idx="19">
                  <c:v>1.0353139620424328</c:v>
                </c:pt>
                <c:pt idx="20">
                  <c:v>1.1832159566199232</c:v>
                </c:pt>
                <c:pt idx="21">
                  <c:v>1.3311179511974136</c:v>
                </c:pt>
                <c:pt idx="22">
                  <c:v>1.479019945774904</c:v>
                </c:pt>
                <c:pt idx="23">
                  <c:v>1.6269219403523945</c:v>
                </c:pt>
                <c:pt idx="24">
                  <c:v>1.7748239349298847</c:v>
                </c:pt>
              </c:numCache>
            </c:numRef>
          </c:val>
          <c:extLst>
            <c:ext xmlns:c16="http://schemas.microsoft.com/office/drawing/2014/chart" uri="{C3380CC4-5D6E-409C-BE32-E72D297353CC}">
              <c16:uniqueId val="{00000007-92D5-4836-A1EE-1BBAFA468B43}"/>
            </c:ext>
          </c:extLst>
        </c:ser>
        <c:ser>
          <c:idx val="8"/>
          <c:order val="8"/>
          <c:spPr>
            <a:ln w="9525" cap="rnd">
              <a:solidFill>
                <a:schemeClr val="accent3">
                  <a:lumMod val="60000"/>
                </a:schemeClr>
              </a:solidFill>
              <a:round/>
            </a:ln>
            <a:effectLst/>
          </c:spPr>
          <c:val>
            <c:numRef>
              <c:f>app!$J$25:$J$49</c:f>
              <c:numCache>
                <c:formatCode>General</c:formatCode>
                <c:ptCount val="25"/>
                <c:pt idx="0">
                  <c:v>-1.8973665961010275</c:v>
                </c:pt>
                <c:pt idx="1">
                  <c:v>-1.7392527130926088</c:v>
                </c:pt>
                <c:pt idx="2">
                  <c:v>-1.5811388300841898</c:v>
                </c:pt>
                <c:pt idx="3">
                  <c:v>-1.4230249470757708</c:v>
                </c:pt>
                <c:pt idx="4">
                  <c:v>-1.2649110640673518</c:v>
                </c:pt>
                <c:pt idx="5">
                  <c:v>-1.1067971810589328</c:v>
                </c:pt>
                <c:pt idx="6">
                  <c:v>-0.94868329805051377</c:v>
                </c:pt>
                <c:pt idx="7">
                  <c:v>-0.79056941504209488</c:v>
                </c:pt>
                <c:pt idx="8">
                  <c:v>-0.63245553203367588</c:v>
                </c:pt>
                <c:pt idx="9">
                  <c:v>-0.47434164902525688</c:v>
                </c:pt>
                <c:pt idx="10">
                  <c:v>-0.31622776601683794</c:v>
                </c:pt>
                <c:pt idx="11">
                  <c:v>-0.15811388300841897</c:v>
                </c:pt>
                <c:pt idx="12">
                  <c:v>0</c:v>
                </c:pt>
                <c:pt idx="13">
                  <c:v>0.15811388300841897</c:v>
                </c:pt>
                <c:pt idx="14">
                  <c:v>0.31622776601683794</c:v>
                </c:pt>
                <c:pt idx="15">
                  <c:v>0.47434164902525688</c:v>
                </c:pt>
                <c:pt idx="16">
                  <c:v>0.63245553203367588</c:v>
                </c:pt>
                <c:pt idx="17">
                  <c:v>0.79056941504209488</c:v>
                </c:pt>
                <c:pt idx="18">
                  <c:v>0.94868329805051377</c:v>
                </c:pt>
                <c:pt idx="19">
                  <c:v>1.1067971810589328</c:v>
                </c:pt>
                <c:pt idx="20">
                  <c:v>1.2649110640673518</c:v>
                </c:pt>
                <c:pt idx="21">
                  <c:v>1.4230249470757708</c:v>
                </c:pt>
                <c:pt idx="22">
                  <c:v>1.5811388300841898</c:v>
                </c:pt>
                <c:pt idx="23">
                  <c:v>1.7392527130926088</c:v>
                </c:pt>
                <c:pt idx="24">
                  <c:v>1.8973665961010275</c:v>
                </c:pt>
              </c:numCache>
            </c:numRef>
          </c:val>
          <c:extLst>
            <c:ext xmlns:c16="http://schemas.microsoft.com/office/drawing/2014/chart" uri="{C3380CC4-5D6E-409C-BE32-E72D297353CC}">
              <c16:uniqueId val="{00000008-92D5-4836-A1EE-1BBAFA468B43}"/>
            </c:ext>
          </c:extLst>
        </c:ser>
        <c:ser>
          <c:idx val="9"/>
          <c:order val="9"/>
          <c:spPr>
            <a:ln w="9525" cap="rnd">
              <a:solidFill>
                <a:schemeClr val="accent4">
                  <a:lumMod val="60000"/>
                </a:schemeClr>
              </a:solidFill>
              <a:round/>
            </a:ln>
            <a:effectLst/>
          </c:spPr>
          <c:val>
            <c:numRef>
              <c:f>app!$K$25:$K$49</c:f>
              <c:numCache>
                <c:formatCode>General</c:formatCode>
                <c:ptCount val="25"/>
                <c:pt idx="0">
                  <c:v>-2.0124611797498106</c:v>
                </c:pt>
                <c:pt idx="1">
                  <c:v>-1.8447560814373265</c:v>
                </c:pt>
                <c:pt idx="2">
                  <c:v>-1.6770509831248424</c:v>
                </c:pt>
                <c:pt idx="3">
                  <c:v>-1.509345884812358</c:v>
                </c:pt>
                <c:pt idx="4">
                  <c:v>-1.3416407864998738</c:v>
                </c:pt>
                <c:pt idx="5">
                  <c:v>-1.1739356881873897</c:v>
                </c:pt>
                <c:pt idx="6">
                  <c:v>-1.0062305898749053</c:v>
                </c:pt>
                <c:pt idx="7">
                  <c:v>-0.83852549156242118</c:v>
                </c:pt>
                <c:pt idx="8">
                  <c:v>-0.67082039324993692</c:v>
                </c:pt>
                <c:pt idx="9">
                  <c:v>-0.50311529493745266</c:v>
                </c:pt>
                <c:pt idx="10">
                  <c:v>-0.33541019662496846</c:v>
                </c:pt>
                <c:pt idx="11">
                  <c:v>-0.16770509831248423</c:v>
                </c:pt>
                <c:pt idx="12">
                  <c:v>0</c:v>
                </c:pt>
                <c:pt idx="13">
                  <c:v>0.16770509831248423</c:v>
                </c:pt>
                <c:pt idx="14">
                  <c:v>0.33541019662496846</c:v>
                </c:pt>
                <c:pt idx="15">
                  <c:v>0.50311529493745266</c:v>
                </c:pt>
                <c:pt idx="16">
                  <c:v>0.67082039324993692</c:v>
                </c:pt>
                <c:pt idx="17">
                  <c:v>0.83852549156242118</c:v>
                </c:pt>
                <c:pt idx="18">
                  <c:v>1.0062305898749053</c:v>
                </c:pt>
                <c:pt idx="19">
                  <c:v>1.1739356881873897</c:v>
                </c:pt>
                <c:pt idx="20">
                  <c:v>1.3416407864998738</c:v>
                </c:pt>
                <c:pt idx="21">
                  <c:v>1.509345884812358</c:v>
                </c:pt>
                <c:pt idx="22">
                  <c:v>1.6770509831248424</c:v>
                </c:pt>
                <c:pt idx="23">
                  <c:v>1.8447560814373265</c:v>
                </c:pt>
                <c:pt idx="24">
                  <c:v>2.0124611797498106</c:v>
                </c:pt>
              </c:numCache>
            </c:numRef>
          </c:val>
          <c:extLst>
            <c:ext xmlns:c16="http://schemas.microsoft.com/office/drawing/2014/chart" uri="{C3380CC4-5D6E-409C-BE32-E72D297353CC}">
              <c16:uniqueId val="{00000009-92D5-4836-A1EE-1BBAFA468B43}"/>
            </c:ext>
          </c:extLst>
        </c:ser>
        <c:ser>
          <c:idx val="10"/>
          <c:order val="10"/>
          <c:spPr>
            <a:ln w="9525" cap="rnd">
              <a:solidFill>
                <a:schemeClr val="accent5">
                  <a:lumMod val="60000"/>
                </a:schemeClr>
              </a:solidFill>
              <a:round/>
            </a:ln>
            <a:effectLst/>
          </c:spPr>
          <c:val>
            <c:numRef>
              <c:f>app!$L$25:$L$49</c:f>
              <c:numCache>
                <c:formatCode>General</c:formatCode>
                <c:ptCount val="25"/>
                <c:pt idx="0">
                  <c:v>-2.1213203435596424</c:v>
                </c:pt>
                <c:pt idx="1">
                  <c:v>-1.9445436482630054</c:v>
                </c:pt>
                <c:pt idx="2">
                  <c:v>-1.7677669529663687</c:v>
                </c:pt>
                <c:pt idx="3">
                  <c:v>-1.5909902576697319</c:v>
                </c:pt>
                <c:pt idx="4">
                  <c:v>-1.4142135623730949</c:v>
                </c:pt>
                <c:pt idx="5">
                  <c:v>-1.2374368670764579</c:v>
                </c:pt>
                <c:pt idx="6">
                  <c:v>-1.0606601717798212</c:v>
                </c:pt>
                <c:pt idx="7">
                  <c:v>-0.88388347648318433</c:v>
                </c:pt>
                <c:pt idx="8">
                  <c:v>-0.70710678118654746</c:v>
                </c:pt>
                <c:pt idx="9">
                  <c:v>-0.5303300858899106</c:v>
                </c:pt>
                <c:pt idx="10">
                  <c:v>-0.35355339059327373</c:v>
                </c:pt>
                <c:pt idx="11">
                  <c:v>-0.17677669529663687</c:v>
                </c:pt>
                <c:pt idx="12">
                  <c:v>0</c:v>
                </c:pt>
                <c:pt idx="13">
                  <c:v>0.17677669529663687</c:v>
                </c:pt>
                <c:pt idx="14">
                  <c:v>0.35355339059327373</c:v>
                </c:pt>
                <c:pt idx="15">
                  <c:v>0.5303300858899106</c:v>
                </c:pt>
                <c:pt idx="16">
                  <c:v>0.70710678118654746</c:v>
                </c:pt>
                <c:pt idx="17">
                  <c:v>0.88388347648318433</c:v>
                </c:pt>
                <c:pt idx="18">
                  <c:v>1.0606601717798212</c:v>
                </c:pt>
                <c:pt idx="19">
                  <c:v>1.2374368670764579</c:v>
                </c:pt>
                <c:pt idx="20">
                  <c:v>1.4142135623730949</c:v>
                </c:pt>
                <c:pt idx="21">
                  <c:v>1.5909902576697319</c:v>
                </c:pt>
                <c:pt idx="22">
                  <c:v>1.7677669529663687</c:v>
                </c:pt>
                <c:pt idx="23">
                  <c:v>1.9445436482630054</c:v>
                </c:pt>
                <c:pt idx="24">
                  <c:v>2.1213203435596424</c:v>
                </c:pt>
              </c:numCache>
            </c:numRef>
          </c:val>
          <c:extLst>
            <c:ext xmlns:c16="http://schemas.microsoft.com/office/drawing/2014/chart" uri="{C3380CC4-5D6E-409C-BE32-E72D297353CC}">
              <c16:uniqueId val="{0000000A-92D5-4836-A1EE-1BBAFA468B43}"/>
            </c:ext>
          </c:extLst>
        </c:ser>
        <c:ser>
          <c:idx val="11"/>
          <c:order val="11"/>
          <c:spPr>
            <a:ln w="9525" cap="rnd">
              <a:solidFill>
                <a:schemeClr val="accent6">
                  <a:lumMod val="60000"/>
                </a:schemeClr>
              </a:solidFill>
              <a:round/>
            </a:ln>
            <a:effectLst/>
          </c:spPr>
          <c:val>
            <c:numRef>
              <c:f>app!$M$25:$M$49</c:f>
              <c:numCache>
                <c:formatCode>General</c:formatCode>
                <c:ptCount val="25"/>
                <c:pt idx="0">
                  <c:v>-2.2248595461286986</c:v>
                </c:pt>
                <c:pt idx="1">
                  <c:v>-2.039454583951307</c:v>
                </c:pt>
                <c:pt idx="2">
                  <c:v>-1.8540496217739155</c:v>
                </c:pt>
                <c:pt idx="3">
                  <c:v>-1.6686446595965241</c:v>
                </c:pt>
                <c:pt idx="4">
                  <c:v>-1.4832396974191324</c:v>
                </c:pt>
                <c:pt idx="5">
                  <c:v>-1.2978347352417408</c:v>
                </c:pt>
                <c:pt idx="6">
                  <c:v>-1.1124297730643493</c:v>
                </c:pt>
                <c:pt idx="7">
                  <c:v>-0.92702481088695776</c:v>
                </c:pt>
                <c:pt idx="8">
                  <c:v>-0.74161984870956621</c:v>
                </c:pt>
                <c:pt idx="9">
                  <c:v>-0.55621488653217466</c:v>
                </c:pt>
                <c:pt idx="10">
                  <c:v>-0.3708099243547831</c:v>
                </c:pt>
                <c:pt idx="11">
                  <c:v>-0.18540496217739155</c:v>
                </c:pt>
                <c:pt idx="12">
                  <c:v>0</c:v>
                </c:pt>
                <c:pt idx="13">
                  <c:v>0.18540496217739155</c:v>
                </c:pt>
                <c:pt idx="14">
                  <c:v>0.3708099243547831</c:v>
                </c:pt>
                <c:pt idx="15">
                  <c:v>0.55621488653217466</c:v>
                </c:pt>
                <c:pt idx="16">
                  <c:v>0.74161984870956621</c:v>
                </c:pt>
                <c:pt idx="17">
                  <c:v>0.92702481088695776</c:v>
                </c:pt>
                <c:pt idx="18">
                  <c:v>1.1124297730643493</c:v>
                </c:pt>
                <c:pt idx="19">
                  <c:v>1.2978347352417408</c:v>
                </c:pt>
                <c:pt idx="20">
                  <c:v>1.4832396974191324</c:v>
                </c:pt>
                <c:pt idx="21">
                  <c:v>1.6686446595965241</c:v>
                </c:pt>
                <c:pt idx="22">
                  <c:v>1.8540496217739155</c:v>
                </c:pt>
                <c:pt idx="23">
                  <c:v>2.039454583951307</c:v>
                </c:pt>
                <c:pt idx="24">
                  <c:v>2.2248595461286986</c:v>
                </c:pt>
              </c:numCache>
            </c:numRef>
          </c:val>
          <c:extLst>
            <c:ext xmlns:c16="http://schemas.microsoft.com/office/drawing/2014/chart" uri="{C3380CC4-5D6E-409C-BE32-E72D297353CC}">
              <c16:uniqueId val="{0000000B-92D5-4836-A1EE-1BBAFA468B43}"/>
            </c:ext>
          </c:extLst>
        </c:ser>
        <c:ser>
          <c:idx val="12"/>
          <c:order val="12"/>
          <c:spPr>
            <a:ln w="9525" cap="rnd">
              <a:solidFill>
                <a:schemeClr val="accent1">
                  <a:lumMod val="80000"/>
                  <a:lumOff val="20000"/>
                </a:schemeClr>
              </a:solidFill>
              <a:round/>
            </a:ln>
            <a:effectLst/>
          </c:spPr>
          <c:val>
            <c:numRef>
              <c:f>app!$N$25:$N$49</c:f>
              <c:numCache>
                <c:formatCode>General</c:formatCode>
                <c:ptCount val="25"/>
                <c:pt idx="0">
                  <c:v>-2.3237900077244502</c:v>
                </c:pt>
                <c:pt idx="1">
                  <c:v>-2.1301408404140796</c:v>
                </c:pt>
                <c:pt idx="2">
                  <c:v>-1.9364916731037085</c:v>
                </c:pt>
                <c:pt idx="3">
                  <c:v>-1.7428425057933377</c:v>
                </c:pt>
                <c:pt idx="4">
                  <c:v>-1.5491933384829668</c:v>
                </c:pt>
                <c:pt idx="5">
                  <c:v>-1.355544171172596</c:v>
                </c:pt>
                <c:pt idx="6">
                  <c:v>-1.1618950038622251</c:v>
                </c:pt>
                <c:pt idx="7">
                  <c:v>-0.96824583655185426</c:v>
                </c:pt>
                <c:pt idx="8">
                  <c:v>-0.7745966692414834</c:v>
                </c:pt>
                <c:pt idx="9">
                  <c:v>-0.58094750193111255</c:v>
                </c:pt>
                <c:pt idx="10">
                  <c:v>-0.3872983346207417</c:v>
                </c:pt>
                <c:pt idx="11">
                  <c:v>-0.19364916731037085</c:v>
                </c:pt>
                <c:pt idx="12">
                  <c:v>0</c:v>
                </c:pt>
                <c:pt idx="13">
                  <c:v>0.19364916731037085</c:v>
                </c:pt>
                <c:pt idx="14">
                  <c:v>0.3872983346207417</c:v>
                </c:pt>
                <c:pt idx="15">
                  <c:v>0.58094750193111255</c:v>
                </c:pt>
                <c:pt idx="16">
                  <c:v>0.7745966692414834</c:v>
                </c:pt>
                <c:pt idx="17">
                  <c:v>0.96824583655185426</c:v>
                </c:pt>
                <c:pt idx="18">
                  <c:v>1.1618950038622251</c:v>
                </c:pt>
                <c:pt idx="19">
                  <c:v>1.355544171172596</c:v>
                </c:pt>
                <c:pt idx="20">
                  <c:v>1.5491933384829668</c:v>
                </c:pt>
                <c:pt idx="21">
                  <c:v>1.7428425057933377</c:v>
                </c:pt>
                <c:pt idx="22">
                  <c:v>1.9364916731037085</c:v>
                </c:pt>
                <c:pt idx="23">
                  <c:v>2.1301408404140796</c:v>
                </c:pt>
                <c:pt idx="24">
                  <c:v>2.3237900077244502</c:v>
                </c:pt>
              </c:numCache>
            </c:numRef>
          </c:val>
          <c:extLst>
            <c:ext xmlns:c16="http://schemas.microsoft.com/office/drawing/2014/chart" uri="{C3380CC4-5D6E-409C-BE32-E72D297353CC}">
              <c16:uniqueId val="{0000000C-92D5-4836-A1EE-1BBAFA468B43}"/>
            </c:ext>
          </c:extLst>
        </c:ser>
        <c:ser>
          <c:idx val="13"/>
          <c:order val="13"/>
          <c:spPr>
            <a:ln w="9525" cap="rnd">
              <a:solidFill>
                <a:schemeClr val="accent2">
                  <a:lumMod val="80000"/>
                  <a:lumOff val="20000"/>
                </a:schemeClr>
              </a:solidFill>
              <a:round/>
            </a:ln>
            <a:effectLst/>
          </c:spPr>
          <c:val>
            <c:numRef>
              <c:f>app!$O$25:$O$49</c:f>
              <c:numCache>
                <c:formatCode>General</c:formatCode>
                <c:ptCount val="25"/>
                <c:pt idx="0">
                  <c:v>-2.4186773244895652</c:v>
                </c:pt>
                <c:pt idx="1">
                  <c:v>-2.2171208807821015</c:v>
                </c:pt>
                <c:pt idx="2">
                  <c:v>-2.0155644370746377</c:v>
                </c:pt>
                <c:pt idx="3">
                  <c:v>-1.8140079933671738</c:v>
                </c:pt>
                <c:pt idx="4">
                  <c:v>-1.61245154965971</c:v>
                </c:pt>
                <c:pt idx="5">
                  <c:v>-1.4108951059522463</c:v>
                </c:pt>
                <c:pt idx="6">
                  <c:v>-1.2093386622447826</c:v>
                </c:pt>
                <c:pt idx="7">
                  <c:v>-1.0077822185373189</c:v>
                </c:pt>
                <c:pt idx="8">
                  <c:v>-0.80622577482985502</c:v>
                </c:pt>
                <c:pt idx="9">
                  <c:v>-0.6046693311223913</c:v>
                </c:pt>
                <c:pt idx="10">
                  <c:v>-0.40311288741492751</c:v>
                </c:pt>
                <c:pt idx="11">
                  <c:v>-0.20155644370746376</c:v>
                </c:pt>
                <c:pt idx="12">
                  <c:v>0</c:v>
                </c:pt>
                <c:pt idx="13">
                  <c:v>0.20155644370746376</c:v>
                </c:pt>
                <c:pt idx="14">
                  <c:v>0.40311288741492751</c:v>
                </c:pt>
                <c:pt idx="15">
                  <c:v>0.6046693311223913</c:v>
                </c:pt>
                <c:pt idx="16">
                  <c:v>0.80622577482985502</c:v>
                </c:pt>
                <c:pt idx="17">
                  <c:v>1.0077822185373189</c:v>
                </c:pt>
                <c:pt idx="18">
                  <c:v>1.2093386622447826</c:v>
                </c:pt>
                <c:pt idx="19">
                  <c:v>1.4108951059522463</c:v>
                </c:pt>
                <c:pt idx="20">
                  <c:v>1.61245154965971</c:v>
                </c:pt>
                <c:pt idx="21">
                  <c:v>1.8140079933671738</c:v>
                </c:pt>
                <c:pt idx="22">
                  <c:v>2.0155644370746377</c:v>
                </c:pt>
                <c:pt idx="23">
                  <c:v>2.2171208807821015</c:v>
                </c:pt>
                <c:pt idx="24">
                  <c:v>2.4186773244895652</c:v>
                </c:pt>
              </c:numCache>
            </c:numRef>
          </c:val>
          <c:extLst>
            <c:ext xmlns:c16="http://schemas.microsoft.com/office/drawing/2014/chart" uri="{C3380CC4-5D6E-409C-BE32-E72D297353CC}">
              <c16:uniqueId val="{0000000D-92D5-4836-A1EE-1BBAFA468B43}"/>
            </c:ext>
          </c:extLst>
        </c:ser>
        <c:ser>
          <c:idx val="14"/>
          <c:order val="14"/>
          <c:spPr>
            <a:ln w="9525" cap="rnd">
              <a:solidFill>
                <a:schemeClr val="accent3">
                  <a:lumMod val="80000"/>
                  <a:lumOff val="20000"/>
                </a:schemeClr>
              </a:solidFill>
              <a:round/>
            </a:ln>
            <a:effectLst/>
          </c:spPr>
          <c:val>
            <c:numRef>
              <c:f>app!$P$25:$P$49</c:f>
              <c:numCache>
                <c:formatCode>General</c:formatCode>
                <c:ptCount val="25"/>
                <c:pt idx="0">
                  <c:v>-2.5099800796022267</c:v>
                </c:pt>
                <c:pt idx="1">
                  <c:v>-2.3008150729687076</c:v>
                </c:pt>
                <c:pt idx="2">
                  <c:v>-2.0916500663351889</c:v>
                </c:pt>
                <c:pt idx="3">
                  <c:v>-1.88248505970167</c:v>
                </c:pt>
                <c:pt idx="4">
                  <c:v>-1.6733200530681511</c:v>
                </c:pt>
                <c:pt idx="5">
                  <c:v>-1.4641550464346322</c:v>
                </c:pt>
                <c:pt idx="6">
                  <c:v>-1.2549900398011133</c:v>
                </c:pt>
                <c:pt idx="7">
                  <c:v>-1.0458250331675945</c:v>
                </c:pt>
                <c:pt idx="8">
                  <c:v>-0.83666002653407556</c:v>
                </c:pt>
                <c:pt idx="9">
                  <c:v>-0.62749501990055667</c:v>
                </c:pt>
                <c:pt idx="10">
                  <c:v>-0.41833001326703778</c:v>
                </c:pt>
                <c:pt idx="11">
                  <c:v>-0.20916500663351889</c:v>
                </c:pt>
                <c:pt idx="12">
                  <c:v>0</c:v>
                </c:pt>
                <c:pt idx="13">
                  <c:v>0.20916500663351889</c:v>
                </c:pt>
                <c:pt idx="14">
                  <c:v>0.41833001326703778</c:v>
                </c:pt>
                <c:pt idx="15">
                  <c:v>0.62749501990055667</c:v>
                </c:pt>
                <c:pt idx="16">
                  <c:v>0.83666002653407556</c:v>
                </c:pt>
                <c:pt idx="17">
                  <c:v>1.0458250331675945</c:v>
                </c:pt>
                <c:pt idx="18">
                  <c:v>1.2549900398011133</c:v>
                </c:pt>
                <c:pt idx="19">
                  <c:v>1.4641550464346322</c:v>
                </c:pt>
                <c:pt idx="20">
                  <c:v>1.6733200530681511</c:v>
                </c:pt>
                <c:pt idx="21">
                  <c:v>1.88248505970167</c:v>
                </c:pt>
                <c:pt idx="22">
                  <c:v>2.0916500663351889</c:v>
                </c:pt>
                <c:pt idx="23">
                  <c:v>2.3008150729687076</c:v>
                </c:pt>
                <c:pt idx="24">
                  <c:v>2.5099800796022267</c:v>
                </c:pt>
              </c:numCache>
            </c:numRef>
          </c:val>
          <c:extLst>
            <c:ext xmlns:c16="http://schemas.microsoft.com/office/drawing/2014/chart" uri="{C3380CC4-5D6E-409C-BE32-E72D297353CC}">
              <c16:uniqueId val="{0000000E-92D5-4836-A1EE-1BBAFA468B43}"/>
            </c:ext>
          </c:extLst>
        </c:ser>
        <c:ser>
          <c:idx val="15"/>
          <c:order val="15"/>
          <c:spPr>
            <a:ln w="9525" cap="rnd">
              <a:solidFill>
                <a:schemeClr val="accent4">
                  <a:lumMod val="80000"/>
                  <a:lumOff val="20000"/>
                </a:schemeClr>
              </a:solidFill>
              <a:round/>
            </a:ln>
            <a:effectLst/>
          </c:spPr>
          <c:val>
            <c:numRef>
              <c:f>app!$Q$25:$Q$49</c:f>
              <c:numCache>
                <c:formatCode>General</c:formatCode>
                <c:ptCount val="25"/>
                <c:pt idx="0">
                  <c:v>-2.598076211353316</c:v>
                </c:pt>
                <c:pt idx="1">
                  <c:v>-2.3815698604072066</c:v>
                </c:pt>
                <c:pt idx="2">
                  <c:v>-2.1650635094610968</c:v>
                </c:pt>
                <c:pt idx="3">
                  <c:v>-1.948557158514987</c:v>
                </c:pt>
                <c:pt idx="4">
                  <c:v>-1.7320508075688774</c:v>
                </c:pt>
                <c:pt idx="5">
                  <c:v>-1.5155444566227678</c:v>
                </c:pt>
                <c:pt idx="6">
                  <c:v>-1.299038105676658</c:v>
                </c:pt>
                <c:pt idx="7">
                  <c:v>-1.0825317547305484</c:v>
                </c:pt>
                <c:pt idx="8">
                  <c:v>-0.86602540378443871</c:v>
                </c:pt>
                <c:pt idx="9">
                  <c:v>-0.649519052838329</c:v>
                </c:pt>
                <c:pt idx="10">
                  <c:v>-0.43301270189221935</c:v>
                </c:pt>
                <c:pt idx="11">
                  <c:v>-0.21650635094610968</c:v>
                </c:pt>
                <c:pt idx="12">
                  <c:v>0</c:v>
                </c:pt>
                <c:pt idx="13">
                  <c:v>0.21650635094610968</c:v>
                </c:pt>
                <c:pt idx="14">
                  <c:v>0.43301270189221935</c:v>
                </c:pt>
                <c:pt idx="15">
                  <c:v>0.649519052838329</c:v>
                </c:pt>
                <c:pt idx="16">
                  <c:v>0.86602540378443871</c:v>
                </c:pt>
                <c:pt idx="17">
                  <c:v>1.0825317547305484</c:v>
                </c:pt>
                <c:pt idx="18">
                  <c:v>1.299038105676658</c:v>
                </c:pt>
                <c:pt idx="19">
                  <c:v>1.5155444566227678</c:v>
                </c:pt>
                <c:pt idx="20">
                  <c:v>1.7320508075688774</c:v>
                </c:pt>
                <c:pt idx="21">
                  <c:v>1.948557158514987</c:v>
                </c:pt>
                <c:pt idx="22">
                  <c:v>2.1650635094610968</c:v>
                </c:pt>
                <c:pt idx="23">
                  <c:v>2.3815698604072066</c:v>
                </c:pt>
                <c:pt idx="24">
                  <c:v>2.598076211353316</c:v>
                </c:pt>
              </c:numCache>
            </c:numRef>
          </c:val>
          <c:extLst>
            <c:ext xmlns:c16="http://schemas.microsoft.com/office/drawing/2014/chart" uri="{C3380CC4-5D6E-409C-BE32-E72D297353CC}">
              <c16:uniqueId val="{0000000F-92D5-4836-A1EE-1BBAFA468B43}"/>
            </c:ext>
          </c:extLst>
        </c:ser>
        <c:ser>
          <c:idx val="16"/>
          <c:order val="16"/>
          <c:spPr>
            <a:ln w="9525" cap="rnd">
              <a:solidFill>
                <a:schemeClr val="accent5">
                  <a:lumMod val="80000"/>
                  <a:lumOff val="20000"/>
                </a:schemeClr>
              </a:solidFill>
              <a:round/>
            </a:ln>
            <a:effectLst/>
          </c:spPr>
          <c:val>
            <c:numRef>
              <c:f>app!$R$25:$R$49</c:f>
              <c:numCache>
                <c:formatCode>General</c:formatCode>
                <c:ptCount val="25"/>
                <c:pt idx="0">
                  <c:v>-2.6832815729997481</c:v>
                </c:pt>
                <c:pt idx="1">
                  <c:v>-2.459674775249769</c:v>
                </c:pt>
                <c:pt idx="2">
                  <c:v>-2.2360679774997898</c:v>
                </c:pt>
                <c:pt idx="3">
                  <c:v>-2.0124611797498111</c:v>
                </c:pt>
                <c:pt idx="4">
                  <c:v>-1.7888543819998319</c:v>
                </c:pt>
                <c:pt idx="5">
                  <c:v>-1.565247584249853</c:v>
                </c:pt>
                <c:pt idx="6">
                  <c:v>-1.3416407864998741</c:v>
                </c:pt>
                <c:pt idx="7">
                  <c:v>-1.1180339887498949</c:v>
                </c:pt>
                <c:pt idx="8">
                  <c:v>-0.89442719099991597</c:v>
                </c:pt>
                <c:pt idx="9">
                  <c:v>-0.67082039324993703</c:v>
                </c:pt>
                <c:pt idx="10">
                  <c:v>-0.44721359549995798</c:v>
                </c:pt>
                <c:pt idx="11">
                  <c:v>-0.22360679774997899</c:v>
                </c:pt>
                <c:pt idx="12">
                  <c:v>0</c:v>
                </c:pt>
                <c:pt idx="13">
                  <c:v>0.22360679774997899</c:v>
                </c:pt>
                <c:pt idx="14">
                  <c:v>0.44721359549995798</c:v>
                </c:pt>
                <c:pt idx="15">
                  <c:v>0.67082039324993703</c:v>
                </c:pt>
                <c:pt idx="16">
                  <c:v>0.89442719099991597</c:v>
                </c:pt>
                <c:pt idx="17">
                  <c:v>1.1180339887498949</c:v>
                </c:pt>
                <c:pt idx="18">
                  <c:v>1.3416407864998741</c:v>
                </c:pt>
                <c:pt idx="19">
                  <c:v>1.565247584249853</c:v>
                </c:pt>
                <c:pt idx="20">
                  <c:v>1.7888543819998319</c:v>
                </c:pt>
                <c:pt idx="21">
                  <c:v>2.0124611797498111</c:v>
                </c:pt>
                <c:pt idx="22">
                  <c:v>2.2360679774997898</c:v>
                </c:pt>
                <c:pt idx="23">
                  <c:v>2.459674775249769</c:v>
                </c:pt>
                <c:pt idx="24">
                  <c:v>2.6832815729997481</c:v>
                </c:pt>
              </c:numCache>
            </c:numRef>
          </c:val>
          <c:extLst>
            <c:ext xmlns:c16="http://schemas.microsoft.com/office/drawing/2014/chart" uri="{C3380CC4-5D6E-409C-BE32-E72D297353CC}">
              <c16:uniqueId val="{00000010-92D5-4836-A1EE-1BBAFA468B43}"/>
            </c:ext>
          </c:extLst>
        </c:ser>
        <c:ser>
          <c:idx val="17"/>
          <c:order val="17"/>
          <c:spPr>
            <a:ln w="9525" cap="rnd">
              <a:solidFill>
                <a:schemeClr val="accent6">
                  <a:lumMod val="80000"/>
                  <a:lumOff val="20000"/>
                </a:schemeClr>
              </a:solidFill>
              <a:round/>
            </a:ln>
            <a:effectLst/>
          </c:spPr>
          <c:val>
            <c:numRef>
              <c:f>app!$S$25:$S$49</c:f>
              <c:numCache>
                <c:formatCode>General</c:formatCode>
                <c:ptCount val="25"/>
                <c:pt idx="0">
                  <c:v>-2.7658633371878665</c:v>
                </c:pt>
                <c:pt idx="1">
                  <c:v>-2.5353747257555446</c:v>
                </c:pt>
                <c:pt idx="2">
                  <c:v>-2.3048861143232222</c:v>
                </c:pt>
                <c:pt idx="3">
                  <c:v>-2.0743975028908999</c:v>
                </c:pt>
                <c:pt idx="4">
                  <c:v>-1.8439088914585777</c:v>
                </c:pt>
                <c:pt idx="5">
                  <c:v>-1.6134202800262556</c:v>
                </c:pt>
                <c:pt idx="6">
                  <c:v>-1.3829316685939332</c:v>
                </c:pt>
                <c:pt idx="7">
                  <c:v>-1.1524430571616111</c:v>
                </c:pt>
                <c:pt idx="8">
                  <c:v>-0.92195444572928886</c:v>
                </c:pt>
                <c:pt idx="9">
                  <c:v>-0.69146583429696662</c:v>
                </c:pt>
                <c:pt idx="10">
                  <c:v>-0.46097722286464443</c:v>
                </c:pt>
                <c:pt idx="11">
                  <c:v>-0.23048861143232222</c:v>
                </c:pt>
                <c:pt idx="12">
                  <c:v>0</c:v>
                </c:pt>
                <c:pt idx="13">
                  <c:v>0.23048861143232222</c:v>
                </c:pt>
                <c:pt idx="14">
                  <c:v>0.46097722286464443</c:v>
                </c:pt>
                <c:pt idx="15">
                  <c:v>0.69146583429696662</c:v>
                </c:pt>
                <c:pt idx="16">
                  <c:v>0.92195444572928886</c:v>
                </c:pt>
                <c:pt idx="17">
                  <c:v>1.1524430571616111</c:v>
                </c:pt>
                <c:pt idx="18">
                  <c:v>1.3829316685939332</c:v>
                </c:pt>
                <c:pt idx="19">
                  <c:v>1.6134202800262556</c:v>
                </c:pt>
                <c:pt idx="20">
                  <c:v>1.8439088914585777</c:v>
                </c:pt>
                <c:pt idx="21">
                  <c:v>2.0743975028908999</c:v>
                </c:pt>
                <c:pt idx="22">
                  <c:v>2.3048861143232222</c:v>
                </c:pt>
                <c:pt idx="23">
                  <c:v>2.5353747257555446</c:v>
                </c:pt>
                <c:pt idx="24">
                  <c:v>2.7658633371878665</c:v>
                </c:pt>
              </c:numCache>
            </c:numRef>
          </c:val>
          <c:extLst>
            <c:ext xmlns:c16="http://schemas.microsoft.com/office/drawing/2014/chart" uri="{C3380CC4-5D6E-409C-BE32-E72D297353CC}">
              <c16:uniqueId val="{00000011-92D5-4836-A1EE-1BBAFA468B43}"/>
            </c:ext>
          </c:extLst>
        </c:ser>
        <c:ser>
          <c:idx val="18"/>
          <c:order val="18"/>
          <c:spPr>
            <a:ln w="9525" cap="rnd">
              <a:solidFill>
                <a:schemeClr val="accent1">
                  <a:lumMod val="80000"/>
                </a:schemeClr>
              </a:solidFill>
              <a:round/>
            </a:ln>
            <a:effectLst/>
          </c:spPr>
          <c:val>
            <c:numRef>
              <c:f>app!$T$25:$T$49</c:f>
              <c:numCache>
                <c:formatCode>General</c:formatCode>
                <c:ptCount val="25"/>
                <c:pt idx="0">
                  <c:v>-2.8460498941515415</c:v>
                </c:pt>
                <c:pt idx="1">
                  <c:v>-2.6088790696389133</c:v>
                </c:pt>
                <c:pt idx="2">
                  <c:v>-2.3717082451262845</c:v>
                </c:pt>
                <c:pt idx="3">
                  <c:v>-2.1345374206136563</c:v>
                </c:pt>
                <c:pt idx="4">
                  <c:v>-1.8973665961010278</c:v>
                </c:pt>
                <c:pt idx="5">
                  <c:v>-1.6601957715883993</c:v>
                </c:pt>
                <c:pt idx="6">
                  <c:v>-1.4230249470757708</c:v>
                </c:pt>
                <c:pt idx="7">
                  <c:v>-1.1858541225631423</c:v>
                </c:pt>
                <c:pt idx="8">
                  <c:v>-0.94868329805051388</c:v>
                </c:pt>
                <c:pt idx="9">
                  <c:v>-0.71151247353788538</c:v>
                </c:pt>
                <c:pt idx="10">
                  <c:v>-0.47434164902525694</c:v>
                </c:pt>
                <c:pt idx="11">
                  <c:v>-0.23717082451262847</c:v>
                </c:pt>
                <c:pt idx="12">
                  <c:v>0</c:v>
                </c:pt>
                <c:pt idx="13">
                  <c:v>0.23717082451262847</c:v>
                </c:pt>
                <c:pt idx="14">
                  <c:v>0.47434164902525694</c:v>
                </c:pt>
                <c:pt idx="15">
                  <c:v>0.71151247353788538</c:v>
                </c:pt>
                <c:pt idx="16">
                  <c:v>0.94868329805051388</c:v>
                </c:pt>
                <c:pt idx="17">
                  <c:v>1.1858541225631423</c:v>
                </c:pt>
                <c:pt idx="18">
                  <c:v>1.4230249470757708</c:v>
                </c:pt>
                <c:pt idx="19">
                  <c:v>1.6601957715883993</c:v>
                </c:pt>
                <c:pt idx="20">
                  <c:v>1.8973665961010278</c:v>
                </c:pt>
                <c:pt idx="21">
                  <c:v>2.1345374206136563</c:v>
                </c:pt>
                <c:pt idx="22">
                  <c:v>2.3717082451262845</c:v>
                </c:pt>
                <c:pt idx="23">
                  <c:v>2.6088790696389133</c:v>
                </c:pt>
                <c:pt idx="24">
                  <c:v>2.8460498941515415</c:v>
                </c:pt>
              </c:numCache>
            </c:numRef>
          </c:val>
          <c:extLst>
            <c:ext xmlns:c16="http://schemas.microsoft.com/office/drawing/2014/chart" uri="{C3380CC4-5D6E-409C-BE32-E72D297353CC}">
              <c16:uniqueId val="{00000012-92D5-4836-A1EE-1BBAFA468B43}"/>
            </c:ext>
          </c:extLst>
        </c:ser>
        <c:ser>
          <c:idx val="19"/>
          <c:order val="19"/>
          <c:spPr>
            <a:ln w="9525" cap="rnd">
              <a:solidFill>
                <a:schemeClr val="accent2">
                  <a:lumMod val="80000"/>
                </a:schemeClr>
              </a:solidFill>
              <a:round/>
            </a:ln>
            <a:effectLst/>
          </c:spPr>
          <c:val>
            <c:numRef>
              <c:f>app!$U$25:$U$49</c:f>
              <c:numCache>
                <c:formatCode>General</c:formatCode>
                <c:ptCount val="25"/>
                <c:pt idx="0">
                  <c:v>-2.9240383034426896</c:v>
                </c:pt>
                <c:pt idx="1">
                  <c:v>-2.6803684448224656</c:v>
                </c:pt>
                <c:pt idx="2">
                  <c:v>-2.4366985862022412</c:v>
                </c:pt>
                <c:pt idx="3">
                  <c:v>-2.1930287275820173</c:v>
                </c:pt>
                <c:pt idx="4">
                  <c:v>-1.9493588689617931</c:v>
                </c:pt>
                <c:pt idx="5">
                  <c:v>-1.7056890103415689</c:v>
                </c:pt>
                <c:pt idx="6">
                  <c:v>-1.4620191517213448</c:v>
                </c:pt>
                <c:pt idx="7">
                  <c:v>-1.2183492931011206</c:v>
                </c:pt>
                <c:pt idx="8">
                  <c:v>-0.97467943448089656</c:v>
                </c:pt>
                <c:pt idx="9">
                  <c:v>-0.73100957586067239</c:v>
                </c:pt>
                <c:pt idx="10">
                  <c:v>-0.48733971724044828</c:v>
                </c:pt>
                <c:pt idx="11">
                  <c:v>-0.24366985862022414</c:v>
                </c:pt>
                <c:pt idx="12">
                  <c:v>0</c:v>
                </c:pt>
                <c:pt idx="13">
                  <c:v>0.24366985862022414</c:v>
                </c:pt>
                <c:pt idx="14">
                  <c:v>0.48733971724044828</c:v>
                </c:pt>
                <c:pt idx="15">
                  <c:v>0.73100957586067239</c:v>
                </c:pt>
                <c:pt idx="16">
                  <c:v>0.97467943448089656</c:v>
                </c:pt>
                <c:pt idx="17">
                  <c:v>1.2183492931011206</c:v>
                </c:pt>
                <c:pt idx="18">
                  <c:v>1.4620191517213448</c:v>
                </c:pt>
                <c:pt idx="19">
                  <c:v>1.7056890103415689</c:v>
                </c:pt>
                <c:pt idx="20">
                  <c:v>1.9493588689617931</c:v>
                </c:pt>
                <c:pt idx="21">
                  <c:v>2.1930287275820173</c:v>
                </c:pt>
                <c:pt idx="22">
                  <c:v>2.4366985862022412</c:v>
                </c:pt>
                <c:pt idx="23">
                  <c:v>2.6803684448224656</c:v>
                </c:pt>
                <c:pt idx="24">
                  <c:v>2.9240383034426896</c:v>
                </c:pt>
              </c:numCache>
            </c:numRef>
          </c:val>
          <c:extLst>
            <c:ext xmlns:c16="http://schemas.microsoft.com/office/drawing/2014/chart" uri="{C3380CC4-5D6E-409C-BE32-E72D297353CC}">
              <c16:uniqueId val="{00000013-92D5-4836-A1EE-1BBAFA468B43}"/>
            </c:ext>
          </c:extLst>
        </c:ser>
        <c:bandFmts>
          <c:bandFmt>
            <c:idx val="0"/>
            <c:spPr>
              <a:ln w="9525" cap="rnd">
                <a:solidFill>
                  <a:schemeClr val="accent1"/>
                </a:solidFill>
                <a:round/>
              </a:ln>
              <a:effectLst/>
            </c:spPr>
          </c:bandFmt>
          <c:bandFmt>
            <c:idx val="1"/>
            <c:spPr>
              <a:ln w="9525" cap="rnd">
                <a:solidFill>
                  <a:schemeClr val="accent2"/>
                </a:solidFill>
                <a:round/>
              </a:ln>
              <a:effectLst/>
            </c:spPr>
          </c:bandFmt>
          <c:bandFmt>
            <c:idx val="2"/>
            <c:spPr>
              <a:ln w="9525" cap="rnd">
                <a:solidFill>
                  <a:schemeClr val="accent3"/>
                </a:solidFill>
                <a:round/>
              </a:ln>
              <a:effectLst/>
            </c:spPr>
          </c:bandFmt>
          <c:bandFmt>
            <c:idx val="3"/>
            <c:spPr>
              <a:ln w="9525" cap="rnd">
                <a:solidFill>
                  <a:schemeClr val="accent4"/>
                </a:solidFill>
                <a:round/>
              </a:ln>
              <a:effectLst/>
            </c:spPr>
          </c:bandFmt>
          <c:bandFmt>
            <c:idx val="4"/>
            <c:spPr>
              <a:ln w="9525" cap="rnd">
                <a:solidFill>
                  <a:schemeClr val="accent5"/>
                </a:solidFill>
                <a:round/>
              </a:ln>
              <a:effectLst/>
            </c:spPr>
          </c:bandFmt>
          <c:bandFmt>
            <c:idx val="5"/>
            <c:spPr>
              <a:ln w="9525" cap="rnd">
                <a:solidFill>
                  <a:schemeClr val="accent6"/>
                </a:solidFill>
                <a:round/>
              </a:ln>
              <a:effectLst/>
            </c:spPr>
          </c:bandFmt>
          <c:bandFmt>
            <c:idx val="6"/>
            <c:spPr>
              <a:ln w="9525" cap="rnd">
                <a:solidFill>
                  <a:schemeClr val="accent1">
                    <a:lumMod val="60000"/>
                  </a:schemeClr>
                </a:solidFill>
                <a:round/>
              </a:ln>
              <a:effectLst/>
            </c:spPr>
          </c:bandFmt>
          <c:bandFmt>
            <c:idx val="7"/>
            <c:spPr>
              <a:ln w="9525" cap="rnd">
                <a:solidFill>
                  <a:schemeClr val="accent2">
                    <a:lumMod val="60000"/>
                  </a:schemeClr>
                </a:solidFill>
                <a:round/>
              </a:ln>
              <a:effectLst/>
            </c:spPr>
          </c:bandFmt>
          <c:bandFmt>
            <c:idx val="8"/>
            <c:spPr>
              <a:ln w="9525" cap="rnd">
                <a:solidFill>
                  <a:schemeClr val="accent3">
                    <a:lumMod val="60000"/>
                  </a:schemeClr>
                </a:solidFill>
                <a:round/>
              </a:ln>
              <a:effectLst/>
            </c:spPr>
          </c:bandFmt>
          <c:bandFmt>
            <c:idx val="9"/>
            <c:spPr>
              <a:ln w="9525" cap="rnd">
                <a:solidFill>
                  <a:schemeClr val="accent4">
                    <a:lumMod val="60000"/>
                  </a:schemeClr>
                </a:solidFill>
                <a:round/>
              </a:ln>
              <a:effectLst/>
            </c:spPr>
          </c:bandFmt>
          <c:bandFmt>
            <c:idx val="10"/>
            <c:spPr>
              <a:ln w="9525" cap="rnd">
                <a:solidFill>
                  <a:schemeClr val="accent5">
                    <a:lumMod val="60000"/>
                  </a:schemeClr>
                </a:solidFill>
                <a:round/>
              </a:ln>
              <a:effectLst/>
            </c:spPr>
          </c:bandFmt>
          <c:bandFmt>
            <c:idx val="11"/>
            <c:spPr>
              <a:ln w="9525" cap="rnd">
                <a:solidFill>
                  <a:schemeClr val="accent6">
                    <a:lumMod val="60000"/>
                  </a:schemeClr>
                </a:solidFill>
                <a:round/>
              </a:ln>
              <a:effectLst/>
            </c:spPr>
          </c:bandFmt>
          <c:bandFmt>
            <c:idx val="12"/>
            <c:spPr>
              <a:ln w="9525" cap="rnd">
                <a:solidFill>
                  <a:schemeClr val="accent1">
                    <a:lumMod val="80000"/>
                    <a:lumOff val="20000"/>
                  </a:schemeClr>
                </a:solidFill>
                <a:round/>
              </a:ln>
              <a:effectLst/>
            </c:spPr>
          </c:bandFmt>
          <c:bandFmt>
            <c:idx val="13"/>
            <c:spPr>
              <a:ln w="9525" cap="rnd">
                <a:solidFill>
                  <a:schemeClr val="accent2">
                    <a:lumMod val="80000"/>
                    <a:lumOff val="20000"/>
                  </a:schemeClr>
                </a:solidFill>
                <a:round/>
              </a:ln>
              <a:effectLst/>
            </c:spPr>
          </c:bandFmt>
          <c:bandFmt>
            <c:idx val="14"/>
            <c:spPr>
              <a:ln w="9525" cap="rnd">
                <a:solidFill>
                  <a:schemeClr val="accent3">
                    <a:lumMod val="80000"/>
                    <a:lumOff val="20000"/>
                  </a:schemeClr>
                </a:solidFill>
                <a:round/>
              </a:ln>
              <a:effectLst/>
            </c:spPr>
          </c:bandFmt>
        </c:bandFmts>
        <c:axId val="1832588400"/>
        <c:axId val="1832590480"/>
        <c:axId val="2043143920"/>
      </c:surface3DChart>
      <c:catAx>
        <c:axId val="1832588400"/>
        <c:scaling>
          <c:orientation val="minMax"/>
        </c:scaling>
        <c:delete val="0"/>
        <c:axPos val="b"/>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2590480"/>
        <c:crosses val="autoZero"/>
        <c:auto val="1"/>
        <c:lblAlgn val="ctr"/>
        <c:lblOffset val="100"/>
        <c:noMultiLvlLbl val="0"/>
      </c:catAx>
      <c:valAx>
        <c:axId val="18325904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2588400"/>
        <c:crosses val="autoZero"/>
        <c:crossBetween val="midCat"/>
      </c:valAx>
      <c:serAx>
        <c:axId val="2043143920"/>
        <c:scaling>
          <c:orientation val="minMax"/>
        </c:scaling>
        <c:delete val="0"/>
        <c:axPos val="b"/>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2590480"/>
        <c:crosses val="autoZero"/>
      </c:ser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app!$A$122</c:f>
              <c:strCache>
                <c:ptCount val="1"/>
                <c:pt idx="0">
                  <c:v>output Prob.</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app!$B$121:$AN$121</c:f>
              <c:numCache>
                <c:formatCode>General</c:formatCode>
                <c:ptCount val="39"/>
                <c:pt idx="0">
                  <c:v>2.5000000000000001E-2</c:v>
                </c:pt>
                <c:pt idx="1">
                  <c:v>0.05</c:v>
                </c:pt>
                <c:pt idx="2">
                  <c:v>7.5000000000000011E-2</c:v>
                </c:pt>
                <c:pt idx="3">
                  <c:v>0.1</c:v>
                </c:pt>
                <c:pt idx="4">
                  <c:v>0.125</c:v>
                </c:pt>
                <c:pt idx="5">
                  <c:v>0.15</c:v>
                </c:pt>
                <c:pt idx="6">
                  <c:v>0.17499999999999999</c:v>
                </c:pt>
                <c:pt idx="7">
                  <c:v>0.19999999999999998</c:v>
                </c:pt>
                <c:pt idx="8">
                  <c:v>0.22499999999999998</c:v>
                </c:pt>
                <c:pt idx="9">
                  <c:v>0.24999999999999997</c:v>
                </c:pt>
                <c:pt idx="10">
                  <c:v>0.27499999999999997</c:v>
                </c:pt>
                <c:pt idx="11">
                  <c:v>0.3</c:v>
                </c:pt>
                <c:pt idx="12">
                  <c:v>0.32500000000000001</c:v>
                </c:pt>
                <c:pt idx="13">
                  <c:v>0.35000000000000003</c:v>
                </c:pt>
                <c:pt idx="14">
                  <c:v>0.37500000000000006</c:v>
                </c:pt>
                <c:pt idx="15">
                  <c:v>0.40000000000000008</c:v>
                </c:pt>
                <c:pt idx="16">
                  <c:v>0.4250000000000001</c:v>
                </c:pt>
                <c:pt idx="17">
                  <c:v>0.45000000000000012</c:v>
                </c:pt>
                <c:pt idx="18">
                  <c:v>0.47500000000000014</c:v>
                </c:pt>
                <c:pt idx="19">
                  <c:v>0.50000000000000011</c:v>
                </c:pt>
                <c:pt idx="20">
                  <c:v>0.52500000000000013</c:v>
                </c:pt>
                <c:pt idx="21">
                  <c:v>0.55000000000000016</c:v>
                </c:pt>
                <c:pt idx="22">
                  <c:v>0.57500000000000018</c:v>
                </c:pt>
                <c:pt idx="23">
                  <c:v>0.6000000000000002</c:v>
                </c:pt>
                <c:pt idx="24">
                  <c:v>0.62500000000000022</c:v>
                </c:pt>
                <c:pt idx="25">
                  <c:v>0.65000000000000024</c:v>
                </c:pt>
                <c:pt idx="26">
                  <c:v>0.67500000000000027</c:v>
                </c:pt>
                <c:pt idx="27">
                  <c:v>0.70000000000000029</c:v>
                </c:pt>
                <c:pt idx="28">
                  <c:v>0.72500000000000031</c:v>
                </c:pt>
                <c:pt idx="29">
                  <c:v>0.75000000000000033</c:v>
                </c:pt>
                <c:pt idx="30">
                  <c:v>0.77500000000000036</c:v>
                </c:pt>
                <c:pt idx="31">
                  <c:v>0.80000000000000038</c:v>
                </c:pt>
                <c:pt idx="32">
                  <c:v>0.8250000000000004</c:v>
                </c:pt>
                <c:pt idx="33">
                  <c:v>0.85000000000000042</c:v>
                </c:pt>
                <c:pt idx="34">
                  <c:v>0.87500000000000044</c:v>
                </c:pt>
                <c:pt idx="35">
                  <c:v>0.90000000000000047</c:v>
                </c:pt>
                <c:pt idx="36">
                  <c:v>0.92500000000000049</c:v>
                </c:pt>
                <c:pt idx="37">
                  <c:v>0.95000000000000051</c:v>
                </c:pt>
                <c:pt idx="38">
                  <c:v>0.97500000000000053</c:v>
                </c:pt>
              </c:numCache>
            </c:numRef>
          </c:xVal>
          <c:yVal>
            <c:numRef>
              <c:f>app!$B$122:$AN$122</c:f>
              <c:numCache>
                <c:formatCode>General</c:formatCode>
                <c:ptCount val="39"/>
                <c:pt idx="0">
                  <c:v>2.3005045423370146E-8</c:v>
                </c:pt>
                <c:pt idx="1">
                  <c:v>2.2453170111101968E-6</c:v>
                </c:pt>
                <c:pt idx="2">
                  <c:v>2.9765589739906781E-5</c:v>
                </c:pt>
                <c:pt idx="3">
                  <c:v>1.7573304709583376E-4</c:v>
                </c:pt>
                <c:pt idx="4">
                  <c:v>6.6790990552942429E-4</c:v>
                </c:pt>
                <c:pt idx="5">
                  <c:v>1.9233029267137344E-3</c:v>
                </c:pt>
                <c:pt idx="6">
                  <c:v>4.5743757307447844E-3</c:v>
                </c:pt>
                <c:pt idx="7">
                  <c:v>9.4583240771104766E-3</c:v>
                </c:pt>
                <c:pt idx="8">
                  <c:v>1.7569547449312054E-2</c:v>
                </c:pt>
                <c:pt idx="9">
                  <c:v>2.9981739916112346E-2</c:v>
                </c:pt>
                <c:pt idx="10">
                  <c:v>4.7749910977646109E-2</c:v>
                </c:pt>
                <c:pt idx="11">
                  <c:v>7.1804428372703663E-2</c:v>
                </c:pt>
                <c:pt idx="12">
                  <c:v>0.10284924705294088</c:v>
                </c:pt>
                <c:pt idx="13">
                  <c:v>0.14127525999177254</c:v>
                </c:pt>
                <c:pt idx="14">
                  <c:v>0.18709755968747002</c:v>
                </c:pt>
                <c:pt idx="15">
                  <c:v>0.23992267690029534</c:v>
                </c:pt>
                <c:pt idx="16">
                  <c:v>0.29894886419090905</c:v>
                </c:pt>
                <c:pt idx="17">
                  <c:v>0.36299947122993831</c:v>
                </c:pt>
                <c:pt idx="18">
                  <c:v>0.43058662959103389</c:v>
                </c:pt>
                <c:pt idx="19">
                  <c:v>0.50000000000000033</c:v>
                </c:pt>
                <c:pt idx="20">
                  <c:v>0.56941337040896678</c:v>
                </c:pt>
                <c:pt idx="21">
                  <c:v>0.63700052877006241</c:v>
                </c:pt>
                <c:pt idx="22">
                  <c:v>0.70105113580909162</c:v>
                </c:pt>
                <c:pt idx="23">
                  <c:v>0.76007732309970533</c:v>
                </c:pt>
                <c:pt idx="24">
                  <c:v>0.81290244031253056</c:v>
                </c:pt>
                <c:pt idx="25">
                  <c:v>0.85872474000822785</c:v>
                </c:pt>
                <c:pt idx="26">
                  <c:v>0.89715075294705948</c:v>
                </c:pt>
                <c:pt idx="27">
                  <c:v>0.9281955716272966</c:v>
                </c:pt>
                <c:pt idx="28">
                  <c:v>0.95225008902235408</c:v>
                </c:pt>
                <c:pt idx="29">
                  <c:v>0.97001826008388792</c:v>
                </c:pt>
                <c:pt idx="30">
                  <c:v>0.98243045255068817</c:v>
                </c:pt>
                <c:pt idx="31">
                  <c:v>0.99054167592288955</c:v>
                </c:pt>
                <c:pt idx="32">
                  <c:v>0.99542562426925529</c:v>
                </c:pt>
                <c:pt idx="33">
                  <c:v>0.99807669707328628</c:v>
                </c:pt>
                <c:pt idx="34">
                  <c:v>0.99933209009447055</c:v>
                </c:pt>
                <c:pt idx="35">
                  <c:v>0.99982426695290416</c:v>
                </c:pt>
                <c:pt idx="36">
                  <c:v>0.99997023441026012</c:v>
                </c:pt>
                <c:pt idx="37">
                  <c:v>0.9999977546829889</c:v>
                </c:pt>
                <c:pt idx="38">
                  <c:v>0.99999997699495458</c:v>
                </c:pt>
              </c:numCache>
            </c:numRef>
          </c:yVal>
          <c:smooth val="1"/>
          <c:extLst>
            <c:ext xmlns:c16="http://schemas.microsoft.com/office/drawing/2014/chart" uri="{C3380CC4-5D6E-409C-BE32-E72D297353CC}">
              <c16:uniqueId val="{00000000-E413-4A4D-ACC4-775D30D8A462}"/>
            </c:ext>
          </c:extLst>
        </c:ser>
        <c:dLbls>
          <c:showLegendKey val="0"/>
          <c:showVal val="0"/>
          <c:showCatName val="0"/>
          <c:showSerName val="0"/>
          <c:showPercent val="0"/>
          <c:showBubbleSize val="0"/>
        </c:dLbls>
        <c:axId val="565726240"/>
        <c:axId val="565726656"/>
      </c:scatterChart>
      <c:valAx>
        <c:axId val="56572624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5726656"/>
        <c:crosses val="autoZero"/>
        <c:crossBetween val="midCat"/>
      </c:valAx>
      <c:valAx>
        <c:axId val="5657266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572624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Prob. rho=0.1</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app!$A$143</c:f>
              <c:strCache>
                <c:ptCount val="1"/>
                <c:pt idx="0">
                  <c:v>Prob.</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app!$B$142:$AN$142</c:f>
              <c:numCache>
                <c:formatCode>General</c:formatCode>
                <c:ptCount val="39"/>
                <c:pt idx="0">
                  <c:v>2.5000000000000001E-2</c:v>
                </c:pt>
                <c:pt idx="1">
                  <c:v>0.05</c:v>
                </c:pt>
                <c:pt idx="2">
                  <c:v>7.5000000000000011E-2</c:v>
                </c:pt>
                <c:pt idx="3">
                  <c:v>0.1</c:v>
                </c:pt>
                <c:pt idx="4">
                  <c:v>0.125</c:v>
                </c:pt>
                <c:pt idx="5">
                  <c:v>0.15</c:v>
                </c:pt>
                <c:pt idx="6">
                  <c:v>0.17499999999999999</c:v>
                </c:pt>
                <c:pt idx="7">
                  <c:v>0.19999999999999998</c:v>
                </c:pt>
                <c:pt idx="8">
                  <c:v>0.22499999999999998</c:v>
                </c:pt>
                <c:pt idx="9">
                  <c:v>0.24999999999999997</c:v>
                </c:pt>
                <c:pt idx="10">
                  <c:v>0.27499999999999997</c:v>
                </c:pt>
                <c:pt idx="11">
                  <c:v>0.3</c:v>
                </c:pt>
                <c:pt idx="12">
                  <c:v>0.32500000000000001</c:v>
                </c:pt>
                <c:pt idx="13">
                  <c:v>0.35000000000000003</c:v>
                </c:pt>
                <c:pt idx="14">
                  <c:v>0.37500000000000006</c:v>
                </c:pt>
                <c:pt idx="15">
                  <c:v>0.40000000000000008</c:v>
                </c:pt>
                <c:pt idx="16">
                  <c:v>0.4250000000000001</c:v>
                </c:pt>
                <c:pt idx="17">
                  <c:v>0.45000000000000012</c:v>
                </c:pt>
                <c:pt idx="18">
                  <c:v>0.47500000000000014</c:v>
                </c:pt>
                <c:pt idx="19">
                  <c:v>0.50000000000000011</c:v>
                </c:pt>
                <c:pt idx="20">
                  <c:v>0.52500000000000013</c:v>
                </c:pt>
                <c:pt idx="21">
                  <c:v>0.55000000000000016</c:v>
                </c:pt>
                <c:pt idx="22">
                  <c:v>0.57500000000000018</c:v>
                </c:pt>
                <c:pt idx="23">
                  <c:v>0.6000000000000002</c:v>
                </c:pt>
                <c:pt idx="24">
                  <c:v>0.62500000000000022</c:v>
                </c:pt>
                <c:pt idx="25">
                  <c:v>0.65000000000000024</c:v>
                </c:pt>
                <c:pt idx="26">
                  <c:v>0.67500000000000027</c:v>
                </c:pt>
                <c:pt idx="27">
                  <c:v>0.70000000000000029</c:v>
                </c:pt>
                <c:pt idx="28">
                  <c:v>0.72500000000000031</c:v>
                </c:pt>
                <c:pt idx="29">
                  <c:v>0.75000000000000033</c:v>
                </c:pt>
                <c:pt idx="30">
                  <c:v>0.77500000000000036</c:v>
                </c:pt>
                <c:pt idx="31">
                  <c:v>0.80000000000000038</c:v>
                </c:pt>
                <c:pt idx="32">
                  <c:v>0.8250000000000004</c:v>
                </c:pt>
                <c:pt idx="33">
                  <c:v>0.85000000000000042</c:v>
                </c:pt>
                <c:pt idx="34">
                  <c:v>0.87500000000000044</c:v>
                </c:pt>
                <c:pt idx="35">
                  <c:v>0.90000000000000047</c:v>
                </c:pt>
                <c:pt idx="36">
                  <c:v>0.92500000000000049</c:v>
                </c:pt>
                <c:pt idx="37">
                  <c:v>0.95000000000000051</c:v>
                </c:pt>
                <c:pt idx="38">
                  <c:v>0.97500000000000053</c:v>
                </c:pt>
              </c:numCache>
            </c:numRef>
          </c:xVal>
          <c:yVal>
            <c:numRef>
              <c:f>app!$B$143:$AN$143</c:f>
              <c:numCache>
                <c:formatCode>General</c:formatCode>
                <c:ptCount val="39"/>
                <c:pt idx="0">
                  <c:v>1.089474775219694E-32</c:v>
                </c:pt>
                <c:pt idx="1">
                  <c:v>4.0167544519718616E-19</c:v>
                </c:pt>
                <c:pt idx="2">
                  <c:v>2.3944472239719383E-12</c:v>
                </c:pt>
                <c:pt idx="3">
                  <c:v>3.0994258754881469E-8</c:v>
                </c:pt>
                <c:pt idx="4">
                  <c:v>1.5345679897313067E-5</c:v>
                </c:pt>
                <c:pt idx="5">
                  <c:v>1.0089911429112691E-3</c:v>
                </c:pt>
                <c:pt idx="6">
                  <c:v>1.6944287512603746E-2</c:v>
                </c:pt>
                <c:pt idx="7">
                  <c:v>0.10759452294104302</c:v>
                </c:pt>
                <c:pt idx="8">
                  <c:v>0.33665898347383172</c:v>
                </c:pt>
                <c:pt idx="9">
                  <c:v>0.63537594820971188</c:v>
                </c:pt>
                <c:pt idx="10">
                  <c:v>0.85859919684635033</c:v>
                </c:pt>
                <c:pt idx="11">
                  <c:v>0.96163621499079621</c:v>
                </c:pt>
                <c:pt idx="12">
                  <c:v>0.99265903957853463</c:v>
                </c:pt>
                <c:pt idx="13">
                  <c:v>0.9989972837119353</c:v>
                </c:pt>
                <c:pt idx="14">
                  <c:v>0.99990118195564948</c:v>
                </c:pt>
                <c:pt idx="15">
                  <c:v>0.99999292226948633</c:v>
                </c:pt>
                <c:pt idx="16">
                  <c:v>0.99999963038378381</c:v>
                </c:pt>
                <c:pt idx="17">
                  <c:v>0.99999998594104644</c:v>
                </c:pt>
                <c:pt idx="18">
                  <c:v>0.99999999961260666</c:v>
                </c:pt>
                <c:pt idx="19">
                  <c:v>0.99999999999234324</c:v>
                </c:pt>
                <c:pt idx="20">
                  <c:v>0.99999999999989309</c:v>
                </c:pt>
                <c:pt idx="21">
                  <c:v>0.999999999999999</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numCache>
            </c:numRef>
          </c:yVal>
          <c:smooth val="0"/>
          <c:extLst>
            <c:ext xmlns:c16="http://schemas.microsoft.com/office/drawing/2014/chart" uri="{C3380CC4-5D6E-409C-BE32-E72D297353CC}">
              <c16:uniqueId val="{00000000-4D7E-4271-8C6E-9C8C317B5109}"/>
            </c:ext>
          </c:extLst>
        </c:ser>
        <c:dLbls>
          <c:showLegendKey val="0"/>
          <c:showVal val="0"/>
          <c:showCatName val="0"/>
          <c:showSerName val="0"/>
          <c:showPercent val="0"/>
          <c:showBubbleSize val="0"/>
        </c:dLbls>
        <c:axId val="1027431024"/>
        <c:axId val="1027440592"/>
      </c:scatterChart>
      <c:valAx>
        <c:axId val="102743102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7440592"/>
        <c:crosses val="autoZero"/>
        <c:crossBetween val="midCat"/>
      </c:valAx>
      <c:valAx>
        <c:axId val="10274405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743102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baseline="0">
                <a:effectLst/>
              </a:rPr>
              <a:t>Prob. rho=0.9</a:t>
            </a:r>
            <a:endParaRPr lang="en-US" sz="1100">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app!$A$146</c:f>
              <c:strCache>
                <c:ptCount val="1"/>
                <c:pt idx="0">
                  <c:v>Prob.</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app!$B$145:$AN$145</c:f>
              <c:numCache>
                <c:formatCode>General</c:formatCode>
                <c:ptCount val="39"/>
                <c:pt idx="0">
                  <c:v>2.5000000000000001E-2</c:v>
                </c:pt>
                <c:pt idx="1">
                  <c:v>0.05</c:v>
                </c:pt>
                <c:pt idx="2">
                  <c:v>7.5000000000000011E-2</c:v>
                </c:pt>
                <c:pt idx="3">
                  <c:v>0.1</c:v>
                </c:pt>
                <c:pt idx="4">
                  <c:v>0.125</c:v>
                </c:pt>
                <c:pt idx="5">
                  <c:v>0.15</c:v>
                </c:pt>
                <c:pt idx="6">
                  <c:v>0.17499999999999999</c:v>
                </c:pt>
                <c:pt idx="7">
                  <c:v>0.19999999999999998</c:v>
                </c:pt>
                <c:pt idx="8">
                  <c:v>0.22499999999999998</c:v>
                </c:pt>
                <c:pt idx="9">
                  <c:v>0.24999999999999997</c:v>
                </c:pt>
                <c:pt idx="10">
                  <c:v>0.27499999999999997</c:v>
                </c:pt>
                <c:pt idx="11">
                  <c:v>0.3</c:v>
                </c:pt>
                <c:pt idx="12">
                  <c:v>0.32500000000000001</c:v>
                </c:pt>
                <c:pt idx="13">
                  <c:v>0.35000000000000003</c:v>
                </c:pt>
                <c:pt idx="14">
                  <c:v>0.37500000000000006</c:v>
                </c:pt>
                <c:pt idx="15">
                  <c:v>0.40000000000000008</c:v>
                </c:pt>
                <c:pt idx="16">
                  <c:v>0.4250000000000001</c:v>
                </c:pt>
                <c:pt idx="17">
                  <c:v>0.45000000000000012</c:v>
                </c:pt>
                <c:pt idx="18">
                  <c:v>0.47500000000000014</c:v>
                </c:pt>
                <c:pt idx="19">
                  <c:v>0.50000000000000011</c:v>
                </c:pt>
                <c:pt idx="20">
                  <c:v>0.52500000000000013</c:v>
                </c:pt>
                <c:pt idx="21">
                  <c:v>0.55000000000000016</c:v>
                </c:pt>
                <c:pt idx="22">
                  <c:v>0.57500000000000018</c:v>
                </c:pt>
                <c:pt idx="23">
                  <c:v>0.6000000000000002</c:v>
                </c:pt>
                <c:pt idx="24">
                  <c:v>0.62500000000000022</c:v>
                </c:pt>
                <c:pt idx="25">
                  <c:v>0.65000000000000024</c:v>
                </c:pt>
                <c:pt idx="26">
                  <c:v>0.67500000000000027</c:v>
                </c:pt>
                <c:pt idx="27">
                  <c:v>0.70000000000000029</c:v>
                </c:pt>
                <c:pt idx="28">
                  <c:v>0.72500000000000031</c:v>
                </c:pt>
                <c:pt idx="29">
                  <c:v>0.75000000000000033</c:v>
                </c:pt>
                <c:pt idx="30">
                  <c:v>0.77500000000000036</c:v>
                </c:pt>
                <c:pt idx="31">
                  <c:v>0.80000000000000038</c:v>
                </c:pt>
                <c:pt idx="32">
                  <c:v>0.8250000000000004</c:v>
                </c:pt>
                <c:pt idx="33">
                  <c:v>0.85000000000000042</c:v>
                </c:pt>
                <c:pt idx="34">
                  <c:v>0.87500000000000044</c:v>
                </c:pt>
                <c:pt idx="35">
                  <c:v>0.90000000000000047</c:v>
                </c:pt>
                <c:pt idx="36">
                  <c:v>0.92500000000000049</c:v>
                </c:pt>
                <c:pt idx="37">
                  <c:v>0.95000000000000051</c:v>
                </c:pt>
                <c:pt idx="38">
                  <c:v>0.97500000000000053</c:v>
                </c:pt>
              </c:numCache>
            </c:numRef>
          </c:xVal>
          <c:yVal>
            <c:numRef>
              <c:f>app!$B$146:$AN$146</c:f>
              <c:numCache>
                <c:formatCode>General</c:formatCode>
                <c:ptCount val="39"/>
                <c:pt idx="0">
                  <c:v>0.52422956874351057</c:v>
                </c:pt>
                <c:pt idx="1">
                  <c:v>0.56808091185377463</c:v>
                </c:pt>
                <c:pt idx="2">
                  <c:v>0.59624256457278646</c:v>
                </c:pt>
                <c:pt idx="3">
                  <c:v>0.61758404830900404</c:v>
                </c:pt>
                <c:pt idx="4">
                  <c:v>0.63504358293039753</c:v>
                </c:pt>
                <c:pt idx="5">
                  <c:v>0.64998037484403359</c:v>
                </c:pt>
                <c:pt idx="6">
                  <c:v>0.6631413903932909</c:v>
                </c:pt>
                <c:pt idx="7">
                  <c:v>0.67498391426247106</c:v>
                </c:pt>
                <c:pt idx="8">
                  <c:v>0.68580964556987878</c:v>
                </c:pt>
                <c:pt idx="9">
                  <c:v>0.69582897880645256</c:v>
                </c:pt>
                <c:pt idx="10">
                  <c:v>0.70519509638699984</c:v>
                </c:pt>
                <c:pt idx="11">
                  <c:v>0.71402347957278967</c:v>
                </c:pt>
                <c:pt idx="12">
                  <c:v>0.72240376141579088</c:v>
                </c:pt>
                <c:pt idx="13">
                  <c:v>0.73040728513860764</c:v>
                </c:pt>
                <c:pt idx="14">
                  <c:v>0.73809212371947819</c:v>
                </c:pt>
                <c:pt idx="15">
                  <c:v>0.74550653270992839</c:v>
                </c:pt>
                <c:pt idx="16">
                  <c:v>0.75269140165652848</c:v>
                </c:pt>
                <c:pt idx="17">
                  <c:v>0.75968204735795331</c:v>
                </c:pt>
                <c:pt idx="18">
                  <c:v>0.76650956557975725</c:v>
                </c:pt>
                <c:pt idx="19">
                  <c:v>0.77320188320107208</c:v>
                </c:pt>
                <c:pt idx="20">
                  <c:v>0.77978460770064162</c:v>
                </c:pt>
                <c:pt idx="21">
                  <c:v>0.78628174347666713</c:v>
                </c:pt>
                <c:pt idx="22">
                  <c:v>0.79271632824893823</c:v>
                </c:pt>
                <c:pt idx="23">
                  <c:v>0.79911103424715224</c:v>
                </c:pt>
                <c:pt idx="24">
                  <c:v>0.80548877644106032</c:v>
                </c:pt>
                <c:pt idx="25">
                  <c:v>0.81187337349678668</c:v>
                </c:pt>
                <c:pt idx="26">
                  <c:v>0.81829031762181736</c:v>
                </c:pt>
                <c:pt idx="27">
                  <c:v>0.82476773007287418</c:v>
                </c:pt>
                <c:pt idx="28">
                  <c:v>0.83133761619016977</c:v>
                </c:pt>
                <c:pt idx="29">
                  <c:v>0.83803760001973904</c:v>
                </c:pt>
                <c:pt idx="30">
                  <c:v>0.84491343966568311</c:v>
                </c:pt>
                <c:pt idx="31">
                  <c:v>0.85202285570924174</c:v>
                </c:pt>
                <c:pt idx="32">
                  <c:v>0.85944167274523731</c:v>
                </c:pt>
                <c:pt idx="33">
                  <c:v>0.86727429244679377</c:v>
                </c:pt>
                <c:pt idx="34">
                  <c:v>0.87567295148213442</c:v>
                </c:pt>
                <c:pt idx="35">
                  <c:v>0.88487679867666813</c:v>
                </c:pt>
                <c:pt idx="36">
                  <c:v>0.89530287945324238</c:v>
                </c:pt>
                <c:pt idx="37">
                  <c:v>0.90780778453768618</c:v>
                </c:pt>
                <c:pt idx="38">
                  <c:v>0.92479633635199976</c:v>
                </c:pt>
              </c:numCache>
            </c:numRef>
          </c:yVal>
          <c:smooth val="1"/>
          <c:extLst>
            <c:ext xmlns:c16="http://schemas.microsoft.com/office/drawing/2014/chart" uri="{C3380CC4-5D6E-409C-BE32-E72D297353CC}">
              <c16:uniqueId val="{00000000-759F-4D5A-BF8D-A9D66EECFF1A}"/>
            </c:ext>
          </c:extLst>
        </c:ser>
        <c:dLbls>
          <c:showLegendKey val="0"/>
          <c:showVal val="0"/>
          <c:showCatName val="0"/>
          <c:showSerName val="0"/>
          <c:showPercent val="0"/>
          <c:showBubbleSize val="0"/>
        </c:dLbls>
        <c:axId val="1027431856"/>
        <c:axId val="1027435600"/>
      </c:scatterChart>
      <c:valAx>
        <c:axId val="102743185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7435600"/>
        <c:crosses val="autoZero"/>
        <c:crossBetween val="midCat"/>
      </c:valAx>
      <c:valAx>
        <c:axId val="10274356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743185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2" Type="http://schemas.openxmlformats.org/officeDocument/2006/relationships/image" Target="../media/image3.jpg"/><Relationship Id="rId1" Type="http://schemas.openxmlformats.org/officeDocument/2006/relationships/image" Target="../media/image2.jpg"/></Relationships>
</file>

<file path=xl/drawings/_rels/drawing4.xml.rels><?xml version="1.0" encoding="UTF-8" standalone="yes"?>
<Relationships xmlns="http://schemas.openxmlformats.org/package/2006/relationships"><Relationship Id="rId3" Type="http://schemas.openxmlformats.org/officeDocument/2006/relationships/image" Target="../media/image7.jpe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5.xml"/><Relationship Id="rId5" Type="http://schemas.openxmlformats.org/officeDocument/2006/relationships/chart" Target="../charts/chart4.xml"/><Relationship Id="rId4" Type="http://schemas.openxmlformats.org/officeDocument/2006/relationships/chart" Target="../charts/chart3.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0</xdr:col>
      <xdr:colOff>9525</xdr:colOff>
      <xdr:row>2</xdr:row>
      <xdr:rowOff>9525</xdr:rowOff>
    </xdr:from>
    <xdr:to>
      <xdr:col>4</xdr:col>
      <xdr:colOff>9524</xdr:colOff>
      <xdr:row>6</xdr:row>
      <xdr:rowOff>180975</xdr:rowOff>
    </xdr:to>
    <xdr:sp macro="" textlink="">
      <xdr:nvSpPr>
        <xdr:cNvPr id="2" name="TextBox 1">
          <a:extLst>
            <a:ext uri="{FF2B5EF4-FFF2-40B4-BE49-F238E27FC236}">
              <a16:creationId xmlns:a16="http://schemas.microsoft.com/office/drawing/2014/main" id="{A8A98927-12F5-46AE-8001-0A4342B1A17B}"/>
            </a:ext>
          </a:extLst>
        </xdr:cNvPr>
        <xdr:cNvSpPr txBox="1"/>
      </xdr:nvSpPr>
      <xdr:spPr>
        <a:xfrm>
          <a:off x="9525" y="390525"/>
          <a:ext cx="2438399" cy="933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Problem 1 comments:</a:t>
          </a:r>
        </a:p>
        <a:p>
          <a:r>
            <a:rPr lang="en-US" sz="1100" b="0"/>
            <a:t>Please provide</a:t>
          </a:r>
          <a:r>
            <a:rPr lang="en-US" sz="1100" b="0" baseline="0"/>
            <a:t> more comments.</a:t>
          </a:r>
          <a:endParaRPr lang="en-US" sz="1100" b="0"/>
        </a:p>
        <a:p>
          <a:endParaRPr lang="en-US" sz="1100"/>
        </a:p>
        <a:p>
          <a:r>
            <a:rPr lang="en-US" sz="1100" b="1">
              <a:solidFill>
                <a:srgbClr val="FF0000"/>
              </a:solidFill>
            </a:rPr>
            <a:t>Grade:</a:t>
          </a:r>
          <a:r>
            <a:rPr lang="en-US" sz="1100" b="1" baseline="0">
              <a:solidFill>
                <a:srgbClr val="FF0000"/>
              </a:solidFill>
            </a:rPr>
            <a:t> 95%</a:t>
          </a:r>
          <a:endParaRPr lang="en-US" sz="1100" b="1">
            <a:solidFill>
              <a:srgbClr val="FF0000"/>
            </a:solidFill>
          </a:endParaRPr>
        </a:p>
      </xdr:txBody>
    </xdr:sp>
    <xdr:clientData/>
  </xdr:twoCellAnchor>
  <xdr:twoCellAnchor>
    <xdr:from>
      <xdr:col>0</xdr:col>
      <xdr:colOff>1</xdr:colOff>
      <xdr:row>8</xdr:row>
      <xdr:rowOff>190499</xdr:rowOff>
    </xdr:from>
    <xdr:to>
      <xdr:col>4</xdr:col>
      <xdr:colOff>180975</xdr:colOff>
      <xdr:row>24</xdr:row>
      <xdr:rowOff>180975</xdr:rowOff>
    </xdr:to>
    <xdr:sp macro="" textlink="">
      <xdr:nvSpPr>
        <xdr:cNvPr id="3" name="TextBox 2">
          <a:extLst>
            <a:ext uri="{FF2B5EF4-FFF2-40B4-BE49-F238E27FC236}">
              <a16:creationId xmlns:a16="http://schemas.microsoft.com/office/drawing/2014/main" id="{C098D465-4D7A-4730-A45D-D0AD085DAFCD}"/>
            </a:ext>
          </a:extLst>
        </xdr:cNvPr>
        <xdr:cNvSpPr txBox="1"/>
      </xdr:nvSpPr>
      <xdr:spPr>
        <a:xfrm>
          <a:off x="1" y="1714499"/>
          <a:ext cx="2619374" cy="30384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Problem 2 comments:</a:t>
          </a:r>
        </a:p>
        <a:p>
          <a:r>
            <a:rPr lang="en-US" sz="1100"/>
            <a:t>1.</a:t>
          </a:r>
          <a:r>
            <a:rPr lang="en-US" sz="1100" baseline="0"/>
            <a:t> Part a): You have assigned the spread duration to the duration. This is incorrect, becuase your are to show that they are the same. You have to shock the spread as well. (Points deducted for this.) </a:t>
          </a:r>
        </a:p>
        <a:p>
          <a:r>
            <a:rPr lang="en-US" sz="1100"/>
            <a:t>2.</a:t>
          </a:r>
          <a:r>
            <a:rPr lang="en-US" sz="1100" baseline="0"/>
            <a:t> Part d): You are missing a lot of calculations. First you need to calculate the values of the fixed(floating) legs seperately since they pay at different frequencies. Then, you need to shock the interest rate up and down, followed by the calculation of the duration. Finally, these need to be repeated when the coupon is 6.5%</a:t>
          </a:r>
        </a:p>
        <a:p>
          <a:endParaRPr lang="en-US" sz="1100"/>
        </a:p>
        <a:p>
          <a:r>
            <a:rPr lang="en-US" sz="1100" b="1">
              <a:solidFill>
                <a:srgbClr val="FF0000"/>
              </a:solidFill>
            </a:rPr>
            <a:t>Grade:</a:t>
          </a:r>
          <a:r>
            <a:rPr lang="en-US" sz="1100" b="1" baseline="0">
              <a:solidFill>
                <a:srgbClr val="FF0000"/>
              </a:solidFill>
            </a:rPr>
            <a:t> 75%</a:t>
          </a:r>
          <a:endParaRPr lang="en-US" sz="1100" b="1">
            <a:solidFill>
              <a:srgbClr val="FF0000"/>
            </a:solidFill>
          </a:endParaRPr>
        </a:p>
      </xdr:txBody>
    </xdr:sp>
    <xdr:clientData/>
  </xdr:twoCellAnchor>
  <xdr:twoCellAnchor>
    <xdr:from>
      <xdr:col>0</xdr:col>
      <xdr:colOff>0</xdr:colOff>
      <xdr:row>25</xdr:row>
      <xdr:rowOff>152400</xdr:rowOff>
    </xdr:from>
    <xdr:to>
      <xdr:col>4</xdr:col>
      <xdr:colOff>190500</xdr:colOff>
      <xdr:row>31</xdr:row>
      <xdr:rowOff>57150</xdr:rowOff>
    </xdr:to>
    <xdr:sp macro="" textlink="">
      <xdr:nvSpPr>
        <xdr:cNvPr id="4" name="TextBox 3">
          <a:extLst>
            <a:ext uri="{FF2B5EF4-FFF2-40B4-BE49-F238E27FC236}">
              <a16:creationId xmlns:a16="http://schemas.microsoft.com/office/drawing/2014/main" id="{2A3B1555-B1DD-419E-B9F6-A4A414E8F953}"/>
            </a:ext>
          </a:extLst>
        </xdr:cNvPr>
        <xdr:cNvSpPr txBox="1"/>
      </xdr:nvSpPr>
      <xdr:spPr>
        <a:xfrm>
          <a:off x="0" y="4914900"/>
          <a:ext cx="2628900" cy="1047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Problem 3 comments:</a:t>
          </a:r>
        </a:p>
        <a:p>
          <a:r>
            <a:rPr lang="en-US" sz="1100" b="0"/>
            <a:t>As</a:t>
          </a:r>
          <a:r>
            <a:rPr lang="en-US" sz="1100" b="0" baseline="0"/>
            <a:t> suggested in the other homeworks, the calculations need to be shown.</a:t>
          </a:r>
        </a:p>
        <a:p>
          <a:endParaRPr lang="en-US" sz="1100"/>
        </a:p>
        <a:p>
          <a:r>
            <a:rPr lang="en-US" sz="1100" b="1">
              <a:solidFill>
                <a:srgbClr val="FF0000"/>
              </a:solidFill>
            </a:rPr>
            <a:t>Grade:</a:t>
          </a:r>
          <a:r>
            <a:rPr lang="en-US" sz="1100" b="1" baseline="0">
              <a:solidFill>
                <a:srgbClr val="FF0000"/>
              </a:solidFill>
            </a:rPr>
            <a:t> 80%</a:t>
          </a:r>
          <a:endParaRPr lang="en-US" sz="1100" b="1">
            <a:solidFill>
              <a:srgbClr val="FF0000"/>
            </a:solidFill>
          </a:endParaRPr>
        </a:p>
      </xdr:txBody>
    </xdr:sp>
    <xdr:clientData/>
  </xdr:twoCellAnchor>
  <xdr:twoCellAnchor>
    <xdr:from>
      <xdr:col>0</xdr:col>
      <xdr:colOff>95250</xdr:colOff>
      <xdr:row>33</xdr:row>
      <xdr:rowOff>123825</xdr:rowOff>
    </xdr:from>
    <xdr:to>
      <xdr:col>4</xdr:col>
      <xdr:colOff>66675</xdr:colOff>
      <xdr:row>44</xdr:row>
      <xdr:rowOff>104775</xdr:rowOff>
    </xdr:to>
    <xdr:sp macro="" textlink="">
      <xdr:nvSpPr>
        <xdr:cNvPr id="5" name="TextBox 4">
          <a:extLst>
            <a:ext uri="{FF2B5EF4-FFF2-40B4-BE49-F238E27FC236}">
              <a16:creationId xmlns:a16="http://schemas.microsoft.com/office/drawing/2014/main" id="{D334DB4A-9D35-4B7B-B546-A71D90C03A7E}"/>
            </a:ext>
          </a:extLst>
        </xdr:cNvPr>
        <xdr:cNvSpPr txBox="1"/>
      </xdr:nvSpPr>
      <xdr:spPr>
        <a:xfrm>
          <a:off x="95250" y="6410325"/>
          <a:ext cx="2409825" cy="2076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Problem 4 comments:</a:t>
          </a:r>
        </a:p>
        <a:p>
          <a:endParaRPr lang="en-US" sz="1100"/>
        </a:p>
        <a:p>
          <a:r>
            <a:rPr lang="en-US" sz="1100"/>
            <a:t>1. Part c):</a:t>
          </a:r>
          <a:r>
            <a:rPr lang="en-US" sz="1100" baseline="0"/>
            <a:t> Good job for creating an interface. However, I don't think it is working correctly. The values are not correct. For instance, if p = c and rho - 0, then all the values for that rho should be c.</a:t>
          </a:r>
        </a:p>
        <a:p>
          <a:endParaRPr lang="en-US" sz="1100" baseline="0"/>
        </a:p>
        <a:p>
          <a:r>
            <a:rPr lang="en-US" sz="1100" b="1" baseline="0">
              <a:solidFill>
                <a:srgbClr val="FF0000"/>
              </a:solidFill>
            </a:rPr>
            <a:t>Grade: 90%</a:t>
          </a:r>
          <a:endParaRPr lang="en-US" sz="1100" b="1">
            <a:solidFill>
              <a:srgbClr val="FF0000"/>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99060</xdr:colOff>
      <xdr:row>1</xdr:row>
      <xdr:rowOff>53340</xdr:rowOff>
    </xdr:from>
    <xdr:to>
      <xdr:col>12</xdr:col>
      <xdr:colOff>107288</xdr:colOff>
      <xdr:row>32</xdr:row>
      <xdr:rowOff>148751</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8893"/>
        <a:stretch/>
      </xdr:blipFill>
      <xdr:spPr>
        <a:xfrm>
          <a:off x="739140" y="236220"/>
          <a:ext cx="7049108" cy="5764691"/>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212543</xdr:colOff>
      <xdr:row>0</xdr:row>
      <xdr:rowOff>149087</xdr:rowOff>
    </xdr:from>
    <xdr:to>
      <xdr:col>10</xdr:col>
      <xdr:colOff>207363</xdr:colOff>
      <xdr:row>29</xdr:row>
      <xdr:rowOff>28437</xdr:rowOff>
    </xdr:to>
    <xdr:pic>
      <xdr:nvPicPr>
        <xdr:cNvPr id="3" name="图片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25456" y="149087"/>
          <a:ext cx="5511037" cy="5403850"/>
        </a:xfrm>
        <a:prstGeom prst="rect">
          <a:avLst/>
        </a:prstGeom>
      </xdr:spPr>
    </xdr:pic>
    <xdr:clientData/>
  </xdr:twoCellAnchor>
  <xdr:twoCellAnchor editAs="oneCell">
    <xdr:from>
      <xdr:col>1</xdr:col>
      <xdr:colOff>1</xdr:colOff>
      <xdr:row>32</xdr:row>
      <xdr:rowOff>6350</xdr:rowOff>
    </xdr:from>
    <xdr:to>
      <xdr:col>9</xdr:col>
      <xdr:colOff>613835</xdr:colOff>
      <xdr:row>60</xdr:row>
      <xdr:rowOff>82550</xdr:rowOff>
    </xdr:to>
    <xdr:pic>
      <xdr:nvPicPr>
        <xdr:cNvPr id="5" name="图片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60401" y="5695950"/>
          <a:ext cx="5897034" cy="50546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2</xdr:col>
      <xdr:colOff>548640</xdr:colOff>
      <xdr:row>3</xdr:row>
      <xdr:rowOff>60960</xdr:rowOff>
    </xdr:from>
    <xdr:to>
      <xdr:col>10</xdr:col>
      <xdr:colOff>0</xdr:colOff>
      <xdr:row>18</xdr:row>
      <xdr:rowOff>60960</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3</xdr:col>
          <xdr:colOff>9525</xdr:colOff>
          <xdr:row>70</xdr:row>
          <xdr:rowOff>38100</xdr:rowOff>
        </xdr:from>
        <xdr:to>
          <xdr:col>3</xdr:col>
          <xdr:colOff>1114425</xdr:colOff>
          <xdr:row>71</xdr:row>
          <xdr:rowOff>180975</xdr:rowOff>
        </xdr:to>
        <xdr:sp macro="" textlink="">
          <xdr:nvSpPr>
            <xdr:cNvPr id="1025" name="CommandButton1" hidden="1">
              <a:extLst>
                <a:ext uri="{63B3BB69-23CF-44E3-9099-C40C66FF867C}">
                  <a14:compatExt spid="_x0000_s1025"/>
                </a:ext>
                <a:ext uri="{FF2B5EF4-FFF2-40B4-BE49-F238E27FC236}">
                  <a16:creationId xmlns:a16="http://schemas.microsoft.com/office/drawing/2014/main" id="{00000000-0008-0000-03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335280</xdr:colOff>
      <xdr:row>49</xdr:row>
      <xdr:rowOff>177165</xdr:rowOff>
    </xdr:from>
    <xdr:to>
      <xdr:col>8</xdr:col>
      <xdr:colOff>426720</xdr:colOff>
      <xdr:row>64</xdr:row>
      <xdr:rowOff>177165</xdr:rowOff>
    </xdr:to>
    <xdr:graphicFrame macro="">
      <xdr:nvGraphicFramePr>
        <xdr:cNvPr id="6" name="Chart 5">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6</xdr:col>
          <xdr:colOff>104775</xdr:colOff>
          <xdr:row>70</xdr:row>
          <xdr:rowOff>38100</xdr:rowOff>
        </xdr:from>
        <xdr:to>
          <xdr:col>9</xdr:col>
          <xdr:colOff>66675</xdr:colOff>
          <xdr:row>71</xdr:row>
          <xdr:rowOff>152400</xdr:rowOff>
        </xdr:to>
        <xdr:sp macro="" textlink="">
          <xdr:nvSpPr>
            <xdr:cNvPr id="1026" name="CommandButton2" hidden="1">
              <a:extLst>
                <a:ext uri="{63B3BB69-23CF-44E3-9099-C40C66FF867C}">
                  <a14:compatExt spid="_x0000_s1026"/>
                </a:ext>
                <a:ext uri="{FF2B5EF4-FFF2-40B4-BE49-F238E27FC236}">
                  <a16:creationId xmlns:a16="http://schemas.microsoft.com/office/drawing/2014/main" id="{00000000-0008-0000-03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636270</xdr:colOff>
      <xdr:row>101</xdr:row>
      <xdr:rowOff>13931</xdr:rowOff>
    </xdr:from>
    <xdr:to>
      <xdr:col>6</xdr:col>
      <xdr:colOff>603885</xdr:colOff>
      <xdr:row>115</xdr:row>
      <xdr:rowOff>154735</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36270" y="18484811"/>
          <a:ext cx="5166360" cy="2701124"/>
        </a:xfrm>
        <a:prstGeom prst="rect">
          <a:avLst/>
        </a:prstGeom>
      </xdr:spPr>
    </xdr:pic>
    <xdr:clientData/>
  </xdr:twoCellAnchor>
  <xdr:twoCellAnchor>
    <xdr:from>
      <xdr:col>2</xdr:col>
      <xdr:colOff>617220</xdr:colOff>
      <xdr:row>123</xdr:row>
      <xdr:rowOff>36195</xdr:rowOff>
    </xdr:from>
    <xdr:to>
      <xdr:col>10</xdr:col>
      <xdr:colOff>68580</xdr:colOff>
      <xdr:row>138</xdr:row>
      <xdr:rowOff>36195</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4</xdr:col>
          <xdr:colOff>66675</xdr:colOff>
          <xdr:row>117</xdr:row>
          <xdr:rowOff>9525</xdr:rowOff>
        </xdr:from>
        <xdr:to>
          <xdr:col>5</xdr:col>
          <xdr:colOff>571500</xdr:colOff>
          <xdr:row>118</xdr:row>
          <xdr:rowOff>142875</xdr:rowOff>
        </xdr:to>
        <xdr:sp macro="" textlink="">
          <xdr:nvSpPr>
            <xdr:cNvPr id="1027" name="CommandButton3" hidden="1">
              <a:extLst>
                <a:ext uri="{63B3BB69-23CF-44E3-9099-C40C66FF867C}">
                  <a14:compatExt spid="_x0000_s1027"/>
                </a:ext>
                <a:ext uri="{FF2B5EF4-FFF2-40B4-BE49-F238E27FC236}">
                  <a16:creationId xmlns:a16="http://schemas.microsoft.com/office/drawing/2014/main" id="{00000000-0008-0000-03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586740</xdr:colOff>
      <xdr:row>146</xdr:row>
      <xdr:rowOff>169545</xdr:rowOff>
    </xdr:from>
    <xdr:to>
      <xdr:col>9</xdr:col>
      <xdr:colOff>38100</xdr:colOff>
      <xdr:row>161</xdr:row>
      <xdr:rowOff>169545</xdr:rowOff>
    </xdr:to>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9</xdr:col>
      <xdr:colOff>579120</xdr:colOff>
      <xdr:row>146</xdr:row>
      <xdr:rowOff>180975</xdr:rowOff>
    </xdr:from>
    <xdr:to>
      <xdr:col>17</xdr:col>
      <xdr:colOff>30480</xdr:colOff>
      <xdr:row>161</xdr:row>
      <xdr:rowOff>180975</xdr:rowOff>
    </xdr:to>
    <xdr:graphicFrame macro="">
      <xdr:nvGraphicFramePr>
        <xdr:cNvPr id="7" name="Chart 6">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5.emf"/><Relationship Id="rId2" Type="http://schemas.openxmlformats.org/officeDocument/2006/relationships/drawing" Target="../drawings/drawing4.xml"/><Relationship Id="rId1" Type="http://schemas.openxmlformats.org/officeDocument/2006/relationships/printerSettings" Target="../printerSettings/printerSettings2.bin"/><Relationship Id="rId6" Type="http://schemas.openxmlformats.org/officeDocument/2006/relationships/control" Target="../activeX/activeX2.xml"/><Relationship Id="rId5" Type="http://schemas.openxmlformats.org/officeDocument/2006/relationships/image" Target="../media/image4.emf"/><Relationship Id="rId4" Type="http://schemas.openxmlformats.org/officeDocument/2006/relationships/control" Target="../activeX/activeX1.xml"/><Relationship Id="rId9" Type="http://schemas.openxmlformats.org/officeDocument/2006/relationships/image" Target="../media/image6.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7AB4F1-36D3-48CE-8361-6B55228099A6}">
  <sheetPr codeName="Sheet2"/>
  <dimension ref="F3:H8"/>
  <sheetViews>
    <sheetView tabSelected="1" workbookViewId="0">
      <selection activeCell="K11" sqref="K11"/>
    </sheetView>
  </sheetViews>
  <sheetFormatPr defaultRowHeight="15"/>
  <sheetData>
    <row r="3" spans="6:8">
      <c r="F3" s="8" t="s">
        <v>94</v>
      </c>
      <c r="G3" s="8" t="s">
        <v>95</v>
      </c>
      <c r="H3" s="8" t="s">
        <v>96</v>
      </c>
    </row>
    <row r="4" spans="6:8">
      <c r="F4" s="8">
        <v>1</v>
      </c>
      <c r="G4" s="9">
        <v>0.25</v>
      </c>
      <c r="H4" s="9">
        <v>0.95</v>
      </c>
    </row>
    <row r="5" spans="6:8">
      <c r="F5" s="8">
        <v>2</v>
      </c>
      <c r="G5" s="9">
        <v>0.25</v>
      </c>
      <c r="H5" s="9">
        <v>0.75</v>
      </c>
    </row>
    <row r="6" spans="6:8">
      <c r="F6" s="8">
        <v>3</v>
      </c>
      <c r="G6" s="9">
        <v>0.25</v>
      </c>
      <c r="H6" s="9">
        <v>0.8</v>
      </c>
    </row>
    <row r="7" spans="6:8">
      <c r="F7" s="8">
        <v>4</v>
      </c>
      <c r="G7" s="9">
        <v>0.25</v>
      </c>
      <c r="H7" s="9">
        <v>0.9</v>
      </c>
    </row>
    <row r="8" spans="6:8">
      <c r="G8" s="10" t="s">
        <v>97</v>
      </c>
      <c r="H8" s="11">
        <f>SUMPRODUCT(G4:G7,H4:H7)</f>
        <v>0.85</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A2"/>
  <sheetViews>
    <sheetView workbookViewId="0"/>
  </sheetViews>
  <sheetFormatPr defaultRowHeight="15"/>
  <sheetData>
    <row r="1" spans="1:1">
      <c r="A1" s="6" t="s">
        <v>90</v>
      </c>
    </row>
    <row r="2" spans="1:1">
      <c r="A2" s="6"/>
    </row>
  </sheetData>
  <phoneticPr fontId="3" type="noConversion"/>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U106"/>
  <sheetViews>
    <sheetView topLeftCell="A30" workbookViewId="0">
      <selection activeCell="G98" sqref="G98"/>
    </sheetView>
  </sheetViews>
  <sheetFormatPr defaultRowHeight="15"/>
  <cols>
    <col min="3" max="4" width="10.28515625" customWidth="1"/>
  </cols>
  <sheetData>
    <row r="1" spans="1:19">
      <c r="A1" s="6" t="s">
        <v>89</v>
      </c>
    </row>
    <row r="2" spans="1:19">
      <c r="A2" t="s">
        <v>21</v>
      </c>
    </row>
    <row r="3" spans="1:19">
      <c r="A3" t="s">
        <v>22</v>
      </c>
    </row>
    <row r="4" spans="1:19">
      <c r="A4" t="s">
        <v>23</v>
      </c>
    </row>
    <row r="6" spans="1:19">
      <c r="A6" t="s">
        <v>24</v>
      </c>
      <c r="D6" t="s">
        <v>86</v>
      </c>
    </row>
    <row r="7" spans="1:19">
      <c r="A7">
        <v>2.5000000000000001E-2</v>
      </c>
      <c r="D7">
        <v>5.0000000000000001E-3</v>
      </c>
    </row>
    <row r="10" spans="1:19" s="4" customFormat="1">
      <c r="A10" s="7" t="s">
        <v>85</v>
      </c>
    </row>
    <row r="11" spans="1:19">
      <c r="A11" t="s">
        <v>25</v>
      </c>
    </row>
    <row r="12" spans="1:19">
      <c r="A12" t="s">
        <v>26</v>
      </c>
    </row>
    <row r="13" spans="1:19">
      <c r="A13" t="s">
        <v>27</v>
      </c>
    </row>
    <row r="14" spans="1:19">
      <c r="B14" t="s">
        <v>84</v>
      </c>
      <c r="D14" t="s">
        <v>83</v>
      </c>
    </row>
    <row r="15" spans="1:19">
      <c r="B15">
        <v>2.5149999999999999E-2</v>
      </c>
      <c r="D15">
        <v>100</v>
      </c>
    </row>
    <row r="16" spans="1:19">
      <c r="G16" t="s">
        <v>82</v>
      </c>
      <c r="K16" t="s">
        <v>81</v>
      </c>
      <c r="O16" t="s">
        <v>80</v>
      </c>
      <c r="S16" t="s">
        <v>79</v>
      </c>
    </row>
    <row r="17" spans="2:21">
      <c r="G17" t="s">
        <v>78</v>
      </c>
      <c r="H17">
        <f>A7+0.0001</f>
        <v>2.5100000000000001E-2</v>
      </c>
      <c r="K17" t="s">
        <v>78</v>
      </c>
      <c r="L17">
        <f>A7-0.0001</f>
        <v>2.4900000000000002E-2</v>
      </c>
      <c r="O17" t="s">
        <v>77</v>
      </c>
      <c r="P17">
        <f>D7+0.0001</f>
        <v>5.1000000000000004E-3</v>
      </c>
      <c r="S17" t="s">
        <v>77</v>
      </c>
      <c r="T17">
        <f>D7-0.0001</f>
        <v>4.8999999999999998E-3</v>
      </c>
    </row>
    <row r="18" spans="2:21">
      <c r="B18" t="s">
        <v>73</v>
      </c>
      <c r="C18" t="s">
        <v>72</v>
      </c>
      <c r="D18" t="s">
        <v>76</v>
      </c>
      <c r="G18" t="s">
        <v>74</v>
      </c>
      <c r="H18" t="s">
        <v>72</v>
      </c>
      <c r="I18" t="s">
        <v>71</v>
      </c>
      <c r="K18" t="s">
        <v>75</v>
      </c>
      <c r="L18" t="s">
        <v>72</v>
      </c>
      <c r="M18" t="s">
        <v>71</v>
      </c>
      <c r="O18" t="s">
        <v>74</v>
      </c>
      <c r="P18" t="s">
        <v>72</v>
      </c>
      <c r="Q18" t="s">
        <v>71</v>
      </c>
      <c r="S18" t="s">
        <v>73</v>
      </c>
      <c r="T18" t="s">
        <v>72</v>
      </c>
      <c r="U18" t="s">
        <v>71</v>
      </c>
    </row>
    <row r="19" spans="2:21">
      <c r="B19">
        <v>0.5</v>
      </c>
      <c r="C19">
        <f>$D$15*$B$15/2</f>
        <v>1.2574999999999998</v>
      </c>
      <c r="D19">
        <f t="shared" ref="D19:D28" si="0">C19/(EXP(B19*($A$7+$D$7)))</f>
        <v>1.2387782640508511</v>
      </c>
      <c r="G19">
        <v>0.5</v>
      </c>
      <c r="H19">
        <f t="shared" ref="H19:H27" si="1">$D$15*$B$15/2</f>
        <v>1.2574999999999998</v>
      </c>
      <c r="I19">
        <f t="shared" ref="I19:I28" si="2">H19/(EXP(G19*($H$17+$D$7)))</f>
        <v>1.2387163266860957</v>
      </c>
      <c r="K19">
        <v>0.5</v>
      </c>
      <c r="L19">
        <f t="shared" ref="L19:L27" si="3">$D$15*$B$15/2</f>
        <v>1.2574999999999998</v>
      </c>
      <c r="M19">
        <f t="shared" ref="M19:M28" si="4">L19/(EXP(K19*($L$17+$D$7)))</f>
        <v>1.2388402045125524</v>
      </c>
      <c r="O19">
        <v>0.5</v>
      </c>
      <c r="P19">
        <f t="shared" ref="P19:P27" si="5">$D$15*$B$15/2</f>
        <v>1.2574999999999998</v>
      </c>
      <c r="Q19">
        <f t="shared" ref="Q19:Q28" si="6">P19/(EXP(O19*($A$7+$P$17)))</f>
        <v>1.2387163266860957</v>
      </c>
      <c r="S19">
        <v>0.5</v>
      </c>
      <c r="T19">
        <f t="shared" ref="T19:T27" si="7">$D$15*$B$15/2</f>
        <v>1.2574999999999998</v>
      </c>
      <c r="U19">
        <f t="shared" ref="U19:U28" si="8">T19/(EXP(S19*($A$7+$T$17)))</f>
        <v>1.2388402045125524</v>
      </c>
    </row>
    <row r="20" spans="2:21">
      <c r="B20">
        <v>1</v>
      </c>
      <c r="C20">
        <f t="shared" ref="C19:C27" si="9">$D$15*$B$15/2</f>
        <v>1.2574999999999998</v>
      </c>
      <c r="D20">
        <f t="shared" si="0"/>
        <v>1.2203352584372489</v>
      </c>
      <c r="G20">
        <v>1</v>
      </c>
      <c r="H20">
        <f t="shared" si="1"/>
        <v>1.2574999999999998</v>
      </c>
      <c r="I20">
        <f t="shared" si="2"/>
        <v>1.2202132310128779</v>
      </c>
      <c r="K20">
        <v>1</v>
      </c>
      <c r="L20">
        <f t="shared" si="3"/>
        <v>1.2574999999999998</v>
      </c>
      <c r="M20">
        <f t="shared" si="4"/>
        <v>1.2204572980649722</v>
      </c>
      <c r="O20">
        <v>1</v>
      </c>
      <c r="P20">
        <f t="shared" si="5"/>
        <v>1.2574999999999998</v>
      </c>
      <c r="Q20">
        <f t="shared" si="6"/>
        <v>1.2202132310128779</v>
      </c>
      <c r="S20">
        <v>1</v>
      </c>
      <c r="T20">
        <f t="shared" si="7"/>
        <v>1.2574999999999998</v>
      </c>
      <c r="U20">
        <f t="shared" si="8"/>
        <v>1.2204572980649722</v>
      </c>
    </row>
    <row r="21" spans="2:21">
      <c r="B21">
        <v>1.5</v>
      </c>
      <c r="C21">
        <f t="shared" si="9"/>
        <v>1.2574999999999998</v>
      </c>
      <c r="D21">
        <f t="shared" si="0"/>
        <v>1.202166833405123</v>
      </c>
      <c r="G21">
        <v>1.5</v>
      </c>
      <c r="H21">
        <f t="shared" si="1"/>
        <v>1.2574999999999998</v>
      </c>
      <c r="I21">
        <f t="shared" si="2"/>
        <v>1.2019865219038128</v>
      </c>
      <c r="K21">
        <v>1.5</v>
      </c>
      <c r="L21">
        <f t="shared" si="3"/>
        <v>1.2574999999999998</v>
      </c>
      <c r="M21">
        <f t="shared" si="4"/>
        <v>1.2023471719551868</v>
      </c>
      <c r="O21">
        <v>1.5</v>
      </c>
      <c r="P21">
        <f t="shared" si="5"/>
        <v>1.2574999999999998</v>
      </c>
      <c r="Q21">
        <f t="shared" si="6"/>
        <v>1.2019865219038128</v>
      </c>
      <c r="S21">
        <v>1.5</v>
      </c>
      <c r="T21">
        <f t="shared" si="7"/>
        <v>1.2574999999999998</v>
      </c>
      <c r="U21">
        <f t="shared" si="8"/>
        <v>1.2023471719551868</v>
      </c>
    </row>
    <row r="22" spans="2:21">
      <c r="B22">
        <v>2</v>
      </c>
      <c r="C22">
        <f t="shared" si="9"/>
        <v>1.2574999999999998</v>
      </c>
      <c r="D22">
        <f t="shared" si="0"/>
        <v>1.1842689009821925</v>
      </c>
      <c r="G22">
        <v>2</v>
      </c>
      <c r="H22">
        <f t="shared" si="1"/>
        <v>1.2574999999999998</v>
      </c>
      <c r="I22">
        <f t="shared" si="2"/>
        <v>1.1840320708857952</v>
      </c>
      <c r="K22">
        <v>2</v>
      </c>
      <c r="L22">
        <f t="shared" si="3"/>
        <v>1.2574999999999998</v>
      </c>
      <c r="M22">
        <f t="shared" si="4"/>
        <v>1.184505778449346</v>
      </c>
      <c r="O22">
        <v>2</v>
      </c>
      <c r="P22">
        <f t="shared" si="5"/>
        <v>1.2574999999999998</v>
      </c>
      <c r="Q22">
        <f t="shared" si="6"/>
        <v>1.1840320708857952</v>
      </c>
      <c r="S22">
        <v>2</v>
      </c>
      <c r="T22">
        <f t="shared" si="7"/>
        <v>1.2574999999999998</v>
      </c>
      <c r="U22">
        <f t="shared" si="8"/>
        <v>1.184505778449346</v>
      </c>
    </row>
    <row r="23" spans="2:21">
      <c r="B23">
        <v>2.5</v>
      </c>
      <c r="C23">
        <f t="shared" si="9"/>
        <v>1.2574999999999998</v>
      </c>
      <c r="D23">
        <f t="shared" si="0"/>
        <v>1.1666374340581551</v>
      </c>
      <c r="G23">
        <v>2.5</v>
      </c>
      <c r="H23">
        <f t="shared" si="1"/>
        <v>1.2574999999999998</v>
      </c>
      <c r="I23">
        <f t="shared" si="2"/>
        <v>1.1663458111540224</v>
      </c>
      <c r="K23">
        <v>2.5</v>
      </c>
      <c r="L23">
        <f t="shared" si="3"/>
        <v>1.2574999999999998</v>
      </c>
      <c r="M23">
        <f t="shared" si="4"/>
        <v>1.1669291298771278</v>
      </c>
      <c r="O23">
        <v>2.5</v>
      </c>
      <c r="P23">
        <f t="shared" si="5"/>
        <v>1.2574999999999998</v>
      </c>
      <c r="Q23">
        <f t="shared" si="6"/>
        <v>1.1663458111540224</v>
      </c>
      <c r="S23">
        <v>2.5</v>
      </c>
      <c r="T23">
        <f t="shared" si="7"/>
        <v>1.2574999999999998</v>
      </c>
      <c r="U23">
        <f t="shared" si="8"/>
        <v>1.1669291298771278</v>
      </c>
    </row>
    <row r="24" spans="2:21">
      <c r="B24">
        <v>3</v>
      </c>
      <c r="C24">
        <f t="shared" si="9"/>
        <v>1.2574999999999998</v>
      </c>
      <c r="D24">
        <f t="shared" si="0"/>
        <v>1.1492684654785692</v>
      </c>
      <c r="G24">
        <v>3</v>
      </c>
      <c r="H24">
        <f t="shared" si="1"/>
        <v>1.2574999999999998</v>
      </c>
      <c r="I24">
        <f t="shared" si="2"/>
        <v>1.1489237366508354</v>
      </c>
      <c r="K24">
        <v>3</v>
      </c>
      <c r="L24">
        <f t="shared" si="3"/>
        <v>1.2574999999999998</v>
      </c>
      <c r="M24">
        <f t="shared" si="4"/>
        <v>1.1496132977404658</v>
      </c>
      <c r="O24">
        <v>3</v>
      </c>
      <c r="P24">
        <f t="shared" si="5"/>
        <v>1.2574999999999998</v>
      </c>
      <c r="Q24">
        <f t="shared" si="6"/>
        <v>1.1489237366508354</v>
      </c>
      <c r="S24">
        <v>3</v>
      </c>
      <c r="T24">
        <f t="shared" si="7"/>
        <v>1.2574999999999998</v>
      </c>
      <c r="U24">
        <f t="shared" si="8"/>
        <v>1.1496132977404658</v>
      </c>
    </row>
    <row r="25" spans="2:21">
      <c r="B25">
        <v>3.5</v>
      </c>
      <c r="C25">
        <f t="shared" si="9"/>
        <v>1.2574999999999998</v>
      </c>
      <c r="D25">
        <f t="shared" si="0"/>
        <v>1.132158087152229</v>
      </c>
      <c r="G25">
        <v>3.5</v>
      </c>
      <c r="H25">
        <f t="shared" si="1"/>
        <v>1.2574999999999998</v>
      </c>
      <c r="I25">
        <f t="shared" si="2"/>
        <v>1.1317619011583189</v>
      </c>
      <c r="K25">
        <v>3.5</v>
      </c>
      <c r="L25">
        <f t="shared" si="3"/>
        <v>1.2574999999999998</v>
      </c>
      <c r="M25">
        <f t="shared" si="4"/>
        <v>1.1325544118355058</v>
      </c>
      <c r="O25">
        <v>3.5</v>
      </c>
      <c r="P25">
        <f t="shared" si="5"/>
        <v>1.2574999999999998</v>
      </c>
      <c r="Q25">
        <f t="shared" si="6"/>
        <v>1.1317619011583189</v>
      </c>
      <c r="S25">
        <v>3.5</v>
      </c>
      <c r="T25">
        <f t="shared" si="7"/>
        <v>1.2574999999999998</v>
      </c>
      <c r="U25">
        <f t="shared" si="8"/>
        <v>1.1325544118355058</v>
      </c>
    </row>
    <row r="26" spans="2:21">
      <c r="B26">
        <v>4</v>
      </c>
      <c r="C26">
        <f t="shared" si="9"/>
        <v>1.2574999999999998</v>
      </c>
      <c r="D26">
        <f t="shared" si="0"/>
        <v>1.1153024491718253</v>
      </c>
      <c r="G26">
        <v>4</v>
      </c>
      <c r="H26">
        <f t="shared" si="1"/>
        <v>1.2574999999999998</v>
      </c>
      <c r="I26">
        <f t="shared" si="2"/>
        <v>1.1148564174044573</v>
      </c>
      <c r="K26">
        <v>4</v>
      </c>
      <c r="L26">
        <f t="shared" si="3"/>
        <v>1.2574999999999998</v>
      </c>
      <c r="M26">
        <f t="shared" si="4"/>
        <v>1.1157486593875878</v>
      </c>
      <c r="O26">
        <v>4</v>
      </c>
      <c r="P26">
        <f t="shared" si="5"/>
        <v>1.2574999999999998</v>
      </c>
      <c r="Q26">
        <f t="shared" si="6"/>
        <v>1.1148564174044573</v>
      </c>
      <c r="S26">
        <v>4</v>
      </c>
      <c r="T26">
        <f t="shared" si="7"/>
        <v>1.2574999999999998</v>
      </c>
      <c r="U26">
        <f t="shared" si="8"/>
        <v>1.1157486593875878</v>
      </c>
    </row>
    <row r="27" spans="2:21">
      <c r="B27">
        <v>4.5</v>
      </c>
      <c r="C27">
        <f t="shared" si="9"/>
        <v>1.2574999999999998</v>
      </c>
      <c r="D27">
        <f t="shared" si="0"/>
        <v>1.0986977589477032</v>
      </c>
      <c r="G27">
        <v>4.5</v>
      </c>
      <c r="H27">
        <f t="shared" si="1"/>
        <v>1.2574999999999998</v>
      </c>
      <c r="I27">
        <f t="shared" si="2"/>
        <v>1.0982034561826401</v>
      </c>
      <c r="K27">
        <v>4.5</v>
      </c>
      <c r="L27">
        <f t="shared" si="3"/>
        <v>1.2574999999999998</v>
      </c>
      <c r="M27">
        <f t="shared" si="4"/>
        <v>1.0991922841990662</v>
      </c>
      <c r="O27">
        <v>4.5</v>
      </c>
      <c r="P27">
        <f t="shared" si="5"/>
        <v>1.2574999999999998</v>
      </c>
      <c r="Q27">
        <f t="shared" si="6"/>
        <v>1.0982034561826401</v>
      </c>
      <c r="S27">
        <v>4.5</v>
      </c>
      <c r="T27">
        <f t="shared" si="7"/>
        <v>1.2574999999999998</v>
      </c>
      <c r="U27">
        <f t="shared" si="8"/>
        <v>1.0991922841990662</v>
      </c>
    </row>
    <row r="28" spans="2:21">
      <c r="B28">
        <v>5</v>
      </c>
      <c r="C28">
        <f>$D$15*$B$15/2+D15</f>
        <v>101.25749999999999</v>
      </c>
      <c r="D28">
        <f t="shared" si="0"/>
        <v>87.153137922860296</v>
      </c>
      <c r="G28">
        <v>5</v>
      </c>
      <c r="H28">
        <f>$D$15*$B$15/2+$D$15</f>
        <v>101.25749999999999</v>
      </c>
      <c r="I28">
        <f t="shared" si="2"/>
        <v>87.109572246225625</v>
      </c>
      <c r="K28">
        <v>5</v>
      </c>
      <c r="L28">
        <f>$D$15*$B$15/2+$D$15</f>
        <v>101.25749999999999</v>
      </c>
      <c r="M28">
        <f t="shared" si="4"/>
        <v>87.196725387779878</v>
      </c>
      <c r="O28">
        <v>5</v>
      </c>
      <c r="P28">
        <f>$D$15*$B$15/2+$D$15</f>
        <v>101.25749999999999</v>
      </c>
      <c r="Q28">
        <f t="shared" si="6"/>
        <v>87.109572246225625</v>
      </c>
      <c r="S28">
        <v>5</v>
      </c>
      <c r="T28">
        <f>$D$15*$B$15/2+$D$15</f>
        <v>101.25749999999999</v>
      </c>
      <c r="U28">
        <f t="shared" si="8"/>
        <v>87.196725387779878</v>
      </c>
    </row>
    <row r="29" spans="2:21">
      <c r="C29" t="s">
        <v>70</v>
      </c>
      <c r="D29" s="5">
        <f>SUM(D19:D28)</f>
        <v>97.660751374544191</v>
      </c>
      <c r="H29" t="s">
        <v>65</v>
      </c>
      <c r="I29">
        <f>SUM(I19:I28)</f>
        <v>97.614611719264474</v>
      </c>
      <c r="L29" t="s">
        <v>65</v>
      </c>
      <c r="M29">
        <f>SUM(M19:M28)</f>
        <v>97.706913623801682</v>
      </c>
      <c r="P29" t="s">
        <v>70</v>
      </c>
      <c r="Q29">
        <f>SUM(Q19:Q28)</f>
        <v>97.614611719264474</v>
      </c>
      <c r="T29" t="s">
        <v>65</v>
      </c>
      <c r="U29">
        <f>SUM(U19:U28)</f>
        <v>97.706913623801682</v>
      </c>
    </row>
    <row r="31" spans="2:21">
      <c r="I31" t="s">
        <v>69</v>
      </c>
      <c r="L31" t="s">
        <v>63</v>
      </c>
    </row>
    <row r="32" spans="2:21">
      <c r="I32" s="5">
        <f>-(I29-M29)/(D29*0.0002)</f>
        <v>4.7256396883132954</v>
      </c>
      <c r="L32" s="5">
        <f>I32</f>
        <v>4.7256396883132954</v>
      </c>
    </row>
    <row r="35" spans="1:21" s="4" customFormat="1">
      <c r="A35" s="7" t="s">
        <v>68</v>
      </c>
    </row>
    <row r="36" spans="1:21">
      <c r="A36" t="s">
        <v>28</v>
      </c>
    </row>
    <row r="37" spans="1:21">
      <c r="A37" t="s">
        <v>29</v>
      </c>
    </row>
    <row r="38" spans="1:21">
      <c r="A38" t="s">
        <v>30</v>
      </c>
    </row>
    <row r="39" spans="1:21">
      <c r="B39" t="s">
        <v>67</v>
      </c>
      <c r="D39" t="s">
        <v>57</v>
      </c>
      <c r="G39" t="s">
        <v>31</v>
      </c>
      <c r="K39" t="s">
        <v>32</v>
      </c>
      <c r="O39" t="s">
        <v>33</v>
      </c>
      <c r="S39" t="s">
        <v>34</v>
      </c>
    </row>
    <row r="40" spans="1:21">
      <c r="B40">
        <f>A7</f>
        <v>2.5000000000000001E-2</v>
      </c>
      <c r="D40">
        <v>100</v>
      </c>
      <c r="G40" t="s">
        <v>35</v>
      </c>
      <c r="H40">
        <v>2.5100000000000001E-2</v>
      </c>
      <c r="K40" t="s">
        <v>35</v>
      </c>
      <c r="L40">
        <v>2.4900000000000002E-2</v>
      </c>
      <c r="O40" t="s">
        <v>36</v>
      </c>
      <c r="P40">
        <v>5.1000000000000004E-3</v>
      </c>
      <c r="S40" t="s">
        <v>36</v>
      </c>
      <c r="T40">
        <v>4.8999999999999998E-3</v>
      </c>
    </row>
    <row r="42" spans="1:21">
      <c r="B42" t="s">
        <v>56</v>
      </c>
      <c r="C42" t="s">
        <v>55</v>
      </c>
      <c r="D42" t="s">
        <v>54</v>
      </c>
      <c r="G42" t="s">
        <v>56</v>
      </c>
      <c r="H42" t="s">
        <v>66</v>
      </c>
      <c r="I42" t="s">
        <v>54</v>
      </c>
      <c r="K42" t="s">
        <v>56</v>
      </c>
      <c r="L42" t="s">
        <v>55</v>
      </c>
      <c r="M42" t="s">
        <v>54</v>
      </c>
      <c r="O42" t="s">
        <v>56</v>
      </c>
      <c r="P42" t="s">
        <v>55</v>
      </c>
      <c r="Q42" t="s">
        <v>54</v>
      </c>
      <c r="S42" t="s">
        <v>56</v>
      </c>
      <c r="T42" t="s">
        <v>55</v>
      </c>
      <c r="U42" t="s">
        <v>54</v>
      </c>
    </row>
    <row r="43" spans="1:21">
      <c r="B43">
        <v>0.25</v>
      </c>
      <c r="C43">
        <f t="shared" ref="C43:C61" si="10">$D$15*(EXP($A$7/4)-1)</f>
        <v>0.62695720037619918</v>
      </c>
      <c r="D43">
        <f t="shared" ref="D43:D62" si="11">C43/(EXP(B43*($A$7+$D$7)))</f>
        <v>0.62227261054424177</v>
      </c>
      <c r="G43">
        <v>0.25</v>
      </c>
      <c r="H43">
        <f t="shared" ref="H43:H61" si="12">$D$15*(EXP($H$40/4)-1)</f>
        <v>0.6294729057523929</v>
      </c>
      <c r="I43">
        <f t="shared" ref="I43:I62" si="13">H43/(EXP(G43*($H$40+$D$7)))</f>
        <v>0.62475389966504458</v>
      </c>
      <c r="K43">
        <v>0.25</v>
      </c>
      <c r="L43">
        <f t="shared" ref="L43:L61" si="14">$D$15*(EXP($L$40/4)-1)</f>
        <v>0.62444155789185274</v>
      </c>
      <c r="M43">
        <f t="shared" ref="M43:M62" si="15">L43/(EXP(K43*($L$40+$D$7)))</f>
        <v>0.61979125939043467</v>
      </c>
      <c r="O43">
        <v>0.25</v>
      </c>
      <c r="P43">
        <f t="shared" ref="P43:P61" si="16">$D$15*(EXP($A$7/4)-1)</f>
        <v>0.62695720037619918</v>
      </c>
      <c r="Q43">
        <f t="shared" ref="Q43:Q62" si="17">P43/(EXP(O43*($A$7+$P$40)))</f>
        <v>0.62225705392343678</v>
      </c>
      <c r="S43">
        <v>0.25</v>
      </c>
      <c r="T43">
        <f t="shared" ref="T43:T61" si="18">$D$15*(EXP($A$7/4)-1)</f>
        <v>0.62695720037619918</v>
      </c>
      <c r="U43">
        <f t="shared" ref="U43:U62" si="19">T43/(EXP(S43*($A$7+$T$40)))</f>
        <v>0.62228816755396721</v>
      </c>
    </row>
    <row r="44" spans="1:21">
      <c r="B44">
        <v>0.5</v>
      </c>
      <c r="C44">
        <f t="shared" si="10"/>
        <v>0.62695720037619918</v>
      </c>
      <c r="D44">
        <f t="shared" si="11"/>
        <v>0.61762302371070366</v>
      </c>
      <c r="G44">
        <v>0.5</v>
      </c>
      <c r="H44">
        <f t="shared" si="12"/>
        <v>0.6294729057523929</v>
      </c>
      <c r="I44">
        <f t="shared" si="13"/>
        <v>0.6200702708246737</v>
      </c>
      <c r="K44">
        <v>0.5</v>
      </c>
      <c r="L44">
        <f t="shared" si="14"/>
        <v>0.62444155789185274</v>
      </c>
      <c r="M44">
        <f t="shared" si="15"/>
        <v>0.61517559227425833</v>
      </c>
      <c r="O44">
        <v>0.5</v>
      </c>
      <c r="P44">
        <f t="shared" si="16"/>
        <v>0.62695720037619918</v>
      </c>
      <c r="Q44">
        <f t="shared" si="17"/>
        <v>0.617592143331534</v>
      </c>
      <c r="S44">
        <v>0.5</v>
      </c>
      <c r="T44">
        <f t="shared" si="18"/>
        <v>0.62695720037619918</v>
      </c>
      <c r="U44">
        <f t="shared" si="19"/>
        <v>0.61765390563393086</v>
      </c>
    </row>
    <row r="45" spans="1:21">
      <c r="B45">
        <v>0.75</v>
      </c>
      <c r="C45">
        <f t="shared" si="10"/>
        <v>0.62695720037619918</v>
      </c>
      <c r="D45">
        <f t="shared" si="11"/>
        <v>0.61300817833509913</v>
      </c>
      <c r="G45">
        <v>0.75</v>
      </c>
      <c r="H45">
        <f t="shared" si="12"/>
        <v>0.6294729057523929</v>
      </c>
      <c r="I45">
        <f t="shared" si="13"/>
        <v>0.61542175401661836</v>
      </c>
      <c r="K45">
        <v>0.75</v>
      </c>
      <c r="L45">
        <f t="shared" si="14"/>
        <v>0.62444155789185274</v>
      </c>
      <c r="M45">
        <f t="shared" si="15"/>
        <v>0.61059429863883774</v>
      </c>
      <c r="O45">
        <v>0.75</v>
      </c>
      <c r="P45">
        <f t="shared" si="16"/>
        <v>0.62695720037619918</v>
      </c>
      <c r="Q45">
        <f t="shared" si="17"/>
        <v>0.61296220444576643</v>
      </c>
      <c r="S45">
        <v>0.75</v>
      </c>
      <c r="T45">
        <f t="shared" si="18"/>
        <v>0.62695720037619918</v>
      </c>
      <c r="U45">
        <f t="shared" si="19"/>
        <v>0.61305415567260291</v>
      </c>
    </row>
    <row r="46" spans="1:21">
      <c r="B46">
        <v>1</v>
      </c>
      <c r="C46">
        <f t="shared" si="10"/>
        <v>0.62695720037619918</v>
      </c>
      <c r="D46">
        <f t="shared" si="11"/>
        <v>0.60842781483115949</v>
      </c>
      <c r="G46">
        <v>1</v>
      </c>
      <c r="H46">
        <f t="shared" si="12"/>
        <v>0.6294729057523929</v>
      </c>
      <c r="I46">
        <f t="shared" si="13"/>
        <v>0.61080808601446701</v>
      </c>
      <c r="K46">
        <v>1</v>
      </c>
      <c r="L46">
        <f t="shared" si="14"/>
        <v>0.62444155789185274</v>
      </c>
      <c r="M46">
        <f t="shared" si="15"/>
        <v>0.6060471225003361</v>
      </c>
      <c r="O46">
        <v>1</v>
      </c>
      <c r="P46">
        <f t="shared" si="16"/>
        <v>0.62695720037619918</v>
      </c>
      <c r="Q46">
        <f t="shared" si="17"/>
        <v>0.60836697509171411</v>
      </c>
      <c r="S46">
        <v>1</v>
      </c>
      <c r="T46">
        <f t="shared" si="18"/>
        <v>0.62695720037619918</v>
      </c>
      <c r="U46">
        <f t="shared" si="19"/>
        <v>0.60848866065488316</v>
      </c>
    </row>
    <row r="47" spans="1:21">
      <c r="B47">
        <v>1.25</v>
      </c>
      <c r="C47">
        <f t="shared" si="10"/>
        <v>0.62695720037619918</v>
      </c>
      <c r="D47">
        <f t="shared" si="11"/>
        <v>0.60388167555222971</v>
      </c>
      <c r="G47">
        <v>1.25</v>
      </c>
      <c r="H47">
        <f t="shared" si="12"/>
        <v>0.6294729057523929</v>
      </c>
      <c r="I47">
        <f t="shared" si="13"/>
        <v>0.60622900556515269</v>
      </c>
      <c r="K47">
        <v>1.25</v>
      </c>
      <c r="L47">
        <f t="shared" si="14"/>
        <v>0.62444155789185274</v>
      </c>
      <c r="M47">
        <f t="shared" si="15"/>
        <v>0.60153380978126159</v>
      </c>
      <c r="O47">
        <v>1.25</v>
      </c>
      <c r="P47">
        <f t="shared" si="16"/>
        <v>0.62695720037619918</v>
      </c>
      <c r="Q47">
        <f t="shared" si="17"/>
        <v>0.60380619506041466</v>
      </c>
      <c r="S47">
        <v>1.25</v>
      </c>
      <c r="T47">
        <f t="shared" si="18"/>
        <v>0.62695720037619918</v>
      </c>
      <c r="U47">
        <f t="shared" si="19"/>
        <v>0.60395716547969602</v>
      </c>
    </row>
    <row r="48" spans="1:21">
      <c r="B48">
        <v>1.5</v>
      </c>
      <c r="C48">
        <f t="shared" si="10"/>
        <v>0.62695720037619918</v>
      </c>
      <c r="D48">
        <f t="shared" si="11"/>
        <v>0.59936950477677664</v>
      </c>
      <c r="G48">
        <v>1.5</v>
      </c>
      <c r="H48">
        <f t="shared" si="12"/>
        <v>0.6294729057523929</v>
      </c>
      <c r="I48">
        <f t="shared" si="13"/>
        <v>0.60168425337415932</v>
      </c>
      <c r="K48">
        <v>1.5</v>
      </c>
      <c r="L48">
        <f t="shared" si="14"/>
        <v>0.62444155789185274</v>
      </c>
      <c r="M48">
        <f t="shared" si="15"/>
        <v>0.59705410829627059</v>
      </c>
      <c r="O48">
        <v>1.5</v>
      </c>
      <c r="P48">
        <f t="shared" si="16"/>
        <v>0.62695720037619918</v>
      </c>
      <c r="Q48">
        <f t="shared" si="17"/>
        <v>0.59927960609362985</v>
      </c>
      <c r="S48">
        <v>1.5</v>
      </c>
      <c r="T48">
        <f t="shared" si="18"/>
        <v>0.62695720037619918</v>
      </c>
      <c r="U48">
        <f t="shared" si="19"/>
        <v>0.59945941694573723</v>
      </c>
    </row>
    <row r="49" spans="2:21">
      <c r="B49">
        <v>1.75</v>
      </c>
      <c r="C49">
        <f t="shared" si="10"/>
        <v>0.62695720037619918</v>
      </c>
      <c r="D49">
        <f t="shared" si="11"/>
        <v>0.59489104869400444</v>
      </c>
      <c r="G49">
        <v>1.75</v>
      </c>
      <c r="H49">
        <f t="shared" si="12"/>
        <v>0.6294729057523929</v>
      </c>
      <c r="I49">
        <f t="shared" si="13"/>
        <v>0.59717357209083954</v>
      </c>
      <c r="K49">
        <v>1.75</v>
      </c>
      <c r="L49">
        <f t="shared" si="14"/>
        <v>0.62444155789185274</v>
      </c>
      <c r="M49">
        <f t="shared" si="15"/>
        <v>0.59260776773807788</v>
      </c>
      <c r="O49">
        <v>1.75</v>
      </c>
      <c r="P49">
        <f t="shared" si="16"/>
        <v>0.62695720037619918</v>
      </c>
      <c r="Q49">
        <f t="shared" si="17"/>
        <v>0.59478695186922081</v>
      </c>
      <c r="S49">
        <v>1.75</v>
      </c>
      <c r="T49">
        <f t="shared" si="18"/>
        <v>0.62695720037619918</v>
      </c>
      <c r="U49">
        <f t="shared" si="19"/>
        <v>0.59499516373732653</v>
      </c>
    </row>
    <row r="50" spans="2:21">
      <c r="B50">
        <v>2</v>
      </c>
      <c r="C50">
        <f t="shared" si="10"/>
        <v>0.62695720037619918</v>
      </c>
      <c r="D50">
        <f t="shared" si="11"/>
        <v>0.59044605538957762</v>
      </c>
      <c r="G50">
        <v>2</v>
      </c>
      <c r="H50">
        <f t="shared" si="12"/>
        <v>0.6294729057523929</v>
      </c>
      <c r="I50">
        <f t="shared" si="13"/>
        <v>0.59269670629384086</v>
      </c>
      <c r="K50">
        <v>2</v>
      </c>
      <c r="L50">
        <f t="shared" si="14"/>
        <v>0.62444155789185274</v>
      </c>
      <c r="M50">
        <f t="shared" si="15"/>
        <v>0.58819453966346846</v>
      </c>
      <c r="O50">
        <v>2</v>
      </c>
      <c r="P50">
        <f t="shared" si="16"/>
        <v>0.62695720037619918</v>
      </c>
      <c r="Q50">
        <f t="shared" si="17"/>
        <v>0.5903279779866335</v>
      </c>
      <c r="S50">
        <v>2</v>
      </c>
      <c r="T50">
        <f t="shared" si="18"/>
        <v>0.62695720037619918</v>
      </c>
      <c r="U50">
        <f t="shared" si="19"/>
        <v>0.59056415641036386</v>
      </c>
    </row>
    <row r="51" spans="2:21">
      <c r="B51">
        <v>2.25</v>
      </c>
      <c r="C51">
        <f t="shared" si="10"/>
        <v>0.62695720037619918</v>
      </c>
      <c r="D51">
        <f t="shared" si="11"/>
        <v>0.58603427483145065</v>
      </c>
      <c r="G51">
        <v>2.25</v>
      </c>
      <c r="H51">
        <f t="shared" si="12"/>
        <v>0.6294729057523929</v>
      </c>
      <c r="I51">
        <f t="shared" si="13"/>
        <v>0.58825340247664337</v>
      </c>
      <c r="K51">
        <v>2.25</v>
      </c>
      <c r="L51">
        <f t="shared" si="14"/>
        <v>0.62444155789185274</v>
      </c>
      <c r="M51">
        <f t="shared" si="15"/>
        <v>0.58381417747941744</v>
      </c>
      <c r="O51">
        <v>2.25</v>
      </c>
      <c r="P51">
        <f t="shared" si="16"/>
        <v>0.62695720037619918</v>
      </c>
      <c r="Q51">
        <f t="shared" si="17"/>
        <v>0.5859024319524937</v>
      </c>
      <c r="S51">
        <v>2.25</v>
      </c>
      <c r="T51">
        <f t="shared" si="18"/>
        <v>0.62695720037619918</v>
      </c>
      <c r="U51">
        <f t="shared" si="19"/>
        <v>0.5861661473783929</v>
      </c>
    </row>
    <row r="52" spans="2:21">
      <c r="B52">
        <v>2.5</v>
      </c>
      <c r="C52">
        <f t="shared" si="10"/>
        <v>0.62695720037619918</v>
      </c>
      <c r="D52">
        <f t="shared" si="11"/>
        <v>0.58165545885580416</v>
      </c>
      <c r="G52">
        <v>2.5</v>
      </c>
      <c r="H52">
        <f t="shared" si="12"/>
        <v>0.6294729057523929</v>
      </c>
      <c r="I52">
        <f t="shared" si="13"/>
        <v>0.5838434090332042</v>
      </c>
      <c r="K52">
        <v>2.5</v>
      </c>
      <c r="L52">
        <f t="shared" si="14"/>
        <v>0.62444155789185274</v>
      </c>
      <c r="M52">
        <f t="shared" si="15"/>
        <v>0.57946643642931051</v>
      </c>
      <c r="O52">
        <v>2.5</v>
      </c>
      <c r="P52">
        <f t="shared" si="16"/>
        <v>0.62695720037619918</v>
      </c>
      <c r="Q52">
        <f t="shared" si="17"/>
        <v>0.5815100631663086</v>
      </c>
      <c r="S52">
        <v>2.5</v>
      </c>
      <c r="T52">
        <f t="shared" si="18"/>
        <v>0.62695720037619918</v>
      </c>
      <c r="U52">
        <f t="shared" si="19"/>
        <v>0.58180089089876608</v>
      </c>
    </row>
    <row r="53" spans="2:21">
      <c r="B53">
        <v>2.75</v>
      </c>
      <c r="C53">
        <f t="shared" si="10"/>
        <v>0.62695720037619918</v>
      </c>
      <c r="D53">
        <f t="shared" si="11"/>
        <v>0.57730936115308473</v>
      </c>
      <c r="G53">
        <v>2.75</v>
      </c>
      <c r="H53">
        <f t="shared" si="12"/>
        <v>0.6294729057523929</v>
      </c>
      <c r="I53">
        <f t="shared" si="13"/>
        <v>0.57946647624370984</v>
      </c>
      <c r="K53">
        <v>2.75</v>
      </c>
      <c r="L53">
        <f t="shared" si="14"/>
        <v>0.62444155789185274</v>
      </c>
      <c r="M53">
        <f t="shared" si="15"/>
        <v>0.57515107357926776</v>
      </c>
      <c r="O53">
        <v>2.75</v>
      </c>
      <c r="P53">
        <f t="shared" si="16"/>
        <v>0.62695720037619918</v>
      </c>
      <c r="Q53">
        <f t="shared" si="17"/>
        <v>0.57715062290627683</v>
      </c>
      <c r="S53">
        <v>2.75</v>
      </c>
      <c r="T53">
        <f t="shared" si="18"/>
        <v>0.62695720037619918</v>
      </c>
      <c r="U53">
        <f t="shared" si="19"/>
        <v>0.57746814305891314</v>
      </c>
    </row>
    <row r="54" spans="2:21">
      <c r="B54">
        <v>3</v>
      </c>
      <c r="C54">
        <f t="shared" si="10"/>
        <v>0.62695720037619918</v>
      </c>
      <c r="D54">
        <f t="shared" si="11"/>
        <v>0.57299573725415054</v>
      </c>
      <c r="G54">
        <v>3</v>
      </c>
      <c r="H54">
        <f t="shared" si="12"/>
        <v>0.6294729057523929</v>
      </c>
      <c r="I54">
        <f t="shared" si="13"/>
        <v>0.57512235626043617</v>
      </c>
      <c r="K54">
        <v>3</v>
      </c>
      <c r="L54">
        <f t="shared" si="14"/>
        <v>0.62444155789185274</v>
      </c>
      <c r="M54">
        <f t="shared" si="15"/>
        <v>0.57086784780457012</v>
      </c>
      <c r="O54">
        <v>3</v>
      </c>
      <c r="P54">
        <f t="shared" si="16"/>
        <v>0.62695720037619918</v>
      </c>
      <c r="Q54">
        <f t="shared" si="17"/>
        <v>0.57282386431520427</v>
      </c>
      <c r="S54">
        <v>3</v>
      </c>
      <c r="T54">
        <f t="shared" si="18"/>
        <v>0.62695720037619918</v>
      </c>
      <c r="U54">
        <f t="shared" si="19"/>
        <v>0.57316766176271372</v>
      </c>
    </row>
    <row r="55" spans="2:21">
      <c r="B55">
        <v>3.25</v>
      </c>
      <c r="C55">
        <f t="shared" si="10"/>
        <v>0.62695720037619918</v>
      </c>
      <c r="D55">
        <f t="shared" si="11"/>
        <v>0.56871434451652025</v>
      </c>
      <c r="G55">
        <v>3.25</v>
      </c>
      <c r="H55">
        <f t="shared" si="12"/>
        <v>0.6294729057523929</v>
      </c>
      <c r="I55">
        <f t="shared" si="13"/>
        <v>0.57081080309371302</v>
      </c>
      <c r="K55">
        <v>3.25</v>
      </c>
      <c r="L55">
        <f t="shared" si="14"/>
        <v>0.62444155789185274</v>
      </c>
      <c r="M55">
        <f t="shared" si="15"/>
        <v>0.56661651977618621</v>
      </c>
      <c r="O55">
        <v>3.25</v>
      </c>
      <c r="P55">
        <f t="shared" si="16"/>
        <v>0.62695720037619918</v>
      </c>
      <c r="Q55">
        <f t="shared" si="17"/>
        <v>0.56852954238652509</v>
      </c>
      <c r="S55">
        <v>3.25</v>
      </c>
      <c r="T55">
        <f t="shared" si="18"/>
        <v>0.62695720037619918</v>
      </c>
      <c r="U55">
        <f t="shared" si="19"/>
        <v>0.56889920671696859</v>
      </c>
    </row>
    <row r="56" spans="2:21">
      <c r="B56">
        <v>3.5</v>
      </c>
      <c r="C56">
        <f t="shared" si="10"/>
        <v>0.62695720037619918</v>
      </c>
      <c r="D56">
        <f t="shared" si="11"/>
        <v>0.56446494211072318</v>
      </c>
      <c r="G56">
        <v>3.5</v>
      </c>
      <c r="H56">
        <f t="shared" si="12"/>
        <v>0.6294729057523929</v>
      </c>
      <c r="I56">
        <f t="shared" si="13"/>
        <v>0.56653157259799569</v>
      </c>
      <c r="K56">
        <v>3.5</v>
      </c>
      <c r="L56">
        <f t="shared" si="14"/>
        <v>0.62444155789185274</v>
      </c>
      <c r="M56">
        <f t="shared" si="15"/>
        <v>0.56239685194739908</v>
      </c>
      <c r="O56">
        <v>3.5</v>
      </c>
      <c r="P56">
        <f t="shared" si="16"/>
        <v>0.62695720037619918</v>
      </c>
      <c r="Q56">
        <f t="shared" si="17"/>
        <v>0.5642674139504289</v>
      </c>
      <c r="S56">
        <v>3.5</v>
      </c>
      <c r="T56">
        <f t="shared" si="18"/>
        <v>0.62695720037619918</v>
      </c>
      <c r="U56">
        <f t="shared" si="19"/>
        <v>0.56466253941797351</v>
      </c>
    </row>
    <row r="57" spans="2:21">
      <c r="B57">
        <v>3.75</v>
      </c>
      <c r="C57">
        <f t="shared" si="10"/>
        <v>0.62695720037619918</v>
      </c>
      <c r="D57">
        <f t="shared" si="11"/>
        <v>0.56024729100675363</v>
      </c>
      <c r="G57">
        <v>3.75</v>
      </c>
      <c r="H57">
        <f t="shared" si="12"/>
        <v>0.6294729057523929</v>
      </c>
      <c r="I57">
        <f t="shared" si="13"/>
        <v>0.56228442245803933</v>
      </c>
      <c r="K57">
        <v>3.75</v>
      </c>
      <c r="L57">
        <f t="shared" si="14"/>
        <v>0.62444155789185274</v>
      </c>
      <c r="M57">
        <f t="shared" si="15"/>
        <v>0.55820860854053378</v>
      </c>
      <c r="O57">
        <v>3.75</v>
      </c>
      <c r="P57">
        <f t="shared" si="16"/>
        <v>0.62695720037619918</v>
      </c>
      <c r="Q57">
        <f t="shared" si="17"/>
        <v>0.56003723766009017</v>
      </c>
      <c r="S57">
        <v>3.75</v>
      </c>
      <c r="T57">
        <f t="shared" si="18"/>
        <v>0.62695720037619918</v>
      </c>
      <c r="U57">
        <f t="shared" si="19"/>
        <v>0.56045742313819336</v>
      </c>
    </row>
    <row r="58" spans="2:21">
      <c r="B58">
        <v>4</v>
      </c>
      <c r="C58">
        <f t="shared" si="10"/>
        <v>0.62695720037619918</v>
      </c>
      <c r="D58">
        <f t="shared" si="11"/>
        <v>0.55606115396062494</v>
      </c>
      <c r="G58">
        <v>4</v>
      </c>
      <c r="H58">
        <f t="shared" si="12"/>
        <v>0.6294729057523929</v>
      </c>
      <c r="I58">
        <f t="shared" si="13"/>
        <v>0.55806911217517807</v>
      </c>
      <c r="K58">
        <v>4</v>
      </c>
      <c r="L58">
        <f t="shared" si="14"/>
        <v>0.62444155789185274</v>
      </c>
      <c r="M58">
        <f t="shared" si="15"/>
        <v>0.5540515555337826</v>
      </c>
      <c r="O58">
        <v>4</v>
      </c>
      <c r="P58">
        <f t="shared" si="16"/>
        <v>0.62695720037619918</v>
      </c>
      <c r="Q58">
        <f t="shared" si="17"/>
        <v>0.5558387739780023</v>
      </c>
      <c r="S58">
        <v>4</v>
      </c>
      <c r="T58">
        <f t="shared" si="18"/>
        <v>0.62695720037619918</v>
      </c>
      <c r="U58">
        <f t="shared" si="19"/>
        <v>0.55628362291303357</v>
      </c>
    </row>
    <row r="59" spans="2:21">
      <c r="B59">
        <v>4.25</v>
      </c>
      <c r="C59">
        <f t="shared" si="10"/>
        <v>0.62695720037619918</v>
      </c>
      <c r="D59">
        <f t="shared" si="11"/>
        <v>0.55190629550102455</v>
      </c>
      <c r="G59">
        <v>4.25</v>
      </c>
      <c r="H59">
        <f t="shared" si="12"/>
        <v>0.6294729057523929</v>
      </c>
      <c r="I59">
        <f t="shared" si="13"/>
        <v>0.55388540305370604</v>
      </c>
      <c r="K59">
        <v>4.25</v>
      </c>
      <c r="L59">
        <f t="shared" si="14"/>
        <v>0.62444155789185274</v>
      </c>
      <c r="M59">
        <f t="shared" si="15"/>
        <v>0.54992546064812897</v>
      </c>
      <c r="O59">
        <v>4.25</v>
      </c>
      <c r="P59">
        <f t="shared" si="16"/>
        <v>0.62695720037619918</v>
      </c>
      <c r="Q59">
        <f t="shared" si="17"/>
        <v>0.55167178516241344</v>
      </c>
      <c r="S59">
        <v>4.25</v>
      </c>
      <c r="T59">
        <f t="shared" si="18"/>
        <v>0.62695720037619918</v>
      </c>
      <c r="U59">
        <f t="shared" si="19"/>
        <v>0.55214090552771178</v>
      </c>
    </row>
    <row r="60" spans="2:21">
      <c r="B60">
        <v>4.5</v>
      </c>
      <c r="C60">
        <f t="shared" si="10"/>
        <v>0.62695720037619918</v>
      </c>
      <c r="D60">
        <f t="shared" si="11"/>
        <v>0.54778248191606849</v>
      </c>
      <c r="G60">
        <v>4.5</v>
      </c>
      <c r="H60">
        <f t="shared" si="12"/>
        <v>0.6294729057523929</v>
      </c>
      <c r="I60">
        <f t="shared" si="13"/>
        <v>0.54973305818736173</v>
      </c>
      <c r="K60">
        <v>4.5</v>
      </c>
      <c r="L60">
        <f t="shared" si="14"/>
        <v>0.62444155789185274</v>
      </c>
      <c r="M60">
        <f t="shared" si="15"/>
        <v>0.54583009333436905</v>
      </c>
      <c r="O60">
        <v>4.5</v>
      </c>
      <c r="P60">
        <f t="shared" si="16"/>
        <v>0.62695720037619918</v>
      </c>
      <c r="Q60">
        <f t="shared" si="17"/>
        <v>0.54753603525386407</v>
      </c>
      <c r="S60">
        <v>4.5</v>
      </c>
      <c r="T60">
        <f t="shared" si="18"/>
        <v>0.62695720037619918</v>
      </c>
      <c r="U60">
        <f t="shared" si="19"/>
        <v>0.54802903950422754</v>
      </c>
    </row>
    <row r="61" spans="2:21">
      <c r="B61">
        <v>4.75</v>
      </c>
      <c r="C61">
        <f t="shared" si="10"/>
        <v>0.62695720037619918</v>
      </c>
      <c r="D61">
        <f t="shared" si="11"/>
        <v>0.54368948124015537</v>
      </c>
      <c r="G61">
        <v>4.75</v>
      </c>
      <c r="H61">
        <f t="shared" si="12"/>
        <v>0.6294729057523929</v>
      </c>
      <c r="I61">
        <f t="shared" si="13"/>
        <v>0.54561184244591199</v>
      </c>
      <c r="K61">
        <v>4.75</v>
      </c>
      <c r="L61">
        <f t="shared" si="14"/>
        <v>0.62444155789185274</v>
      </c>
      <c r="M61">
        <f t="shared" si="15"/>
        <v>0.54176522476022881</v>
      </c>
      <c r="O61">
        <v>4.75</v>
      </c>
      <c r="P61">
        <f t="shared" si="16"/>
        <v>0.62695720037619918</v>
      </c>
      <c r="Q61">
        <f t="shared" si="17"/>
        <v>0.54343129006182567</v>
      </c>
      <c r="S61">
        <v>4.75</v>
      </c>
      <c r="T61">
        <f t="shared" si="18"/>
        <v>0.62695720037619918</v>
      </c>
      <c r="U61">
        <f t="shared" si="19"/>
        <v>0.5439477950884265</v>
      </c>
    </row>
    <row r="62" spans="2:21">
      <c r="B62">
        <v>5</v>
      </c>
      <c r="C62">
        <f>$D$15*(EXP($A$7/4)-1)+D40</f>
        <v>100.6269572003762</v>
      </c>
      <c r="D62">
        <f t="shared" si="11"/>
        <v>86.610424705746695</v>
      </c>
      <c r="G62">
        <v>5</v>
      </c>
      <c r="H62">
        <f>$D$15*(EXP($H$40/4)-1)+D40</f>
        <v>100.62947290575239</v>
      </c>
      <c r="I62">
        <f t="shared" si="13"/>
        <v>86.569294523203141</v>
      </c>
      <c r="K62">
        <v>5</v>
      </c>
      <c r="L62">
        <f>$D$15*(EXP($L$40/4)-1)+D40</f>
        <v>100.62444155789186</v>
      </c>
      <c r="M62">
        <f t="shared" si="15"/>
        <v>86.651574429767692</v>
      </c>
      <c r="O62">
        <v>5</v>
      </c>
      <c r="P62">
        <f>$D$15*(EXP($A$7/4)-1)+D40</f>
        <v>100.6269572003762</v>
      </c>
      <c r="Q62">
        <f t="shared" si="17"/>
        <v>86.567130317892747</v>
      </c>
      <c r="S62">
        <v>5</v>
      </c>
      <c r="T62">
        <f>$D$15*(EXP($A$7/4)-1)+D40</f>
        <v>100.6269572003762</v>
      </c>
      <c r="U62">
        <f t="shared" si="19"/>
        <v>86.653740746207262</v>
      </c>
    </row>
    <row r="63" spans="2:21">
      <c r="C63" t="s">
        <v>65</v>
      </c>
      <c r="D63" s="5">
        <f>SUM(D43:D62)</f>
        <v>97.671205439926851</v>
      </c>
      <c r="H63" t="s">
        <v>65</v>
      </c>
      <c r="I63">
        <f>SUM(I43:I62)</f>
        <v>97.671743929073841</v>
      </c>
      <c r="L63" t="s">
        <v>65</v>
      </c>
      <c r="M63">
        <f>SUM(M43:M62)</f>
        <v>97.670666777883824</v>
      </c>
      <c r="P63" t="s">
        <v>65</v>
      </c>
      <c r="Q63">
        <f>SUM(Q43:Q62)</f>
        <v>97.625208486488532</v>
      </c>
      <c r="T63" t="s">
        <v>65</v>
      </c>
      <c r="U63">
        <f>SUM(U43:U62)</f>
        <v>97.717224913701088</v>
      </c>
    </row>
    <row r="65" spans="1:12">
      <c r="I65" t="s">
        <v>51</v>
      </c>
      <c r="L65" t="s">
        <v>63</v>
      </c>
    </row>
    <row r="66" spans="1:12">
      <c r="I66" s="5">
        <f>-(I63-M63)/(D63*0.0002)</f>
        <v>-5.5141696325223311E-2</v>
      </c>
      <c r="L66" s="5">
        <f>(Q63-U63)/(-D63*0.0002)</f>
        <v>4.7105196868462551</v>
      </c>
    </row>
    <row r="68" spans="1:12" s="4" customFormat="1">
      <c r="A68" s="7" t="s">
        <v>64</v>
      </c>
    </row>
    <row r="69" spans="1:12">
      <c r="A69" t="s">
        <v>37</v>
      </c>
    </row>
    <row r="70" spans="1:12">
      <c r="A70" t="s">
        <v>38</v>
      </c>
    </row>
    <row r="71" spans="1:12">
      <c r="A71" t="s">
        <v>39</v>
      </c>
    </row>
    <row r="72" spans="1:12">
      <c r="A72" t="s">
        <v>40</v>
      </c>
    </row>
    <row r="73" spans="1:12">
      <c r="B73" t="s">
        <v>54</v>
      </c>
      <c r="D73" t="s">
        <v>51</v>
      </c>
      <c r="F73" t="s">
        <v>63</v>
      </c>
    </row>
    <row r="74" spans="1:12">
      <c r="B74" s="5">
        <f>D29-D63</f>
        <v>-1.045406538266036E-2</v>
      </c>
      <c r="D74" s="5">
        <f>((I29-I63)-(M29-M63))/(-100*0.0002)</f>
        <v>4.6689527863613023</v>
      </c>
      <c r="F74" s="5">
        <f>((Q29-Q63)-(U29-U63))/(-100*0.0002)</f>
        <v>1.4273866232628052E-2</v>
      </c>
    </row>
    <row r="75" spans="1:12" ht="13.35" customHeight="1"/>
    <row r="76" spans="1:12" s="4" customFormat="1">
      <c r="A76" s="7" t="s">
        <v>62</v>
      </c>
    </row>
    <row r="77" spans="1:12">
      <c r="A77" t="s">
        <v>41</v>
      </c>
    </row>
    <row r="78" spans="1:12">
      <c r="A78" t="s">
        <v>42</v>
      </c>
    </row>
    <row r="79" spans="1:12">
      <c r="A79" t="s">
        <v>43</v>
      </c>
    </row>
    <row r="80" spans="1:12">
      <c r="A80" t="s">
        <v>44</v>
      </c>
    </row>
    <row r="81" spans="1:12">
      <c r="A81" t="s">
        <v>45</v>
      </c>
    </row>
    <row r="82" spans="1:12">
      <c r="A82" t="s">
        <v>46</v>
      </c>
    </row>
    <row r="83" spans="1:12">
      <c r="A83" t="s">
        <v>47</v>
      </c>
    </row>
    <row r="84" spans="1:12">
      <c r="B84" t="s">
        <v>61</v>
      </c>
      <c r="F84" t="s">
        <v>60</v>
      </c>
      <c r="J84" t="s">
        <v>59</v>
      </c>
    </row>
    <row r="85" spans="1:12">
      <c r="B85" t="s">
        <v>58</v>
      </c>
      <c r="D85" t="s">
        <v>57</v>
      </c>
      <c r="F85" t="s">
        <v>53</v>
      </c>
      <c r="G85">
        <v>100</v>
      </c>
      <c r="J85" t="s">
        <v>58</v>
      </c>
      <c r="L85" t="s">
        <v>57</v>
      </c>
    </row>
    <row r="86" spans="1:12">
      <c r="B86">
        <v>2.5149999999999999E-2</v>
      </c>
      <c r="D86">
        <v>100</v>
      </c>
      <c r="J86">
        <v>6.5000000000000002E-2</v>
      </c>
      <c r="L86">
        <v>100</v>
      </c>
    </row>
    <row r="89" spans="1:12">
      <c r="B89" t="s">
        <v>56</v>
      </c>
      <c r="C89" t="s">
        <v>55</v>
      </c>
      <c r="D89" t="s">
        <v>54</v>
      </c>
      <c r="J89" t="s">
        <v>56</v>
      </c>
      <c r="K89" t="s">
        <v>55</v>
      </c>
      <c r="L89" t="s">
        <v>54</v>
      </c>
    </row>
    <row r="90" spans="1:12">
      <c r="B90">
        <v>0.5</v>
      </c>
      <c r="C90">
        <f t="shared" ref="C90:C98" si="20">$D$15*$B$15/2</f>
        <v>1.2574999999999998</v>
      </c>
      <c r="D90">
        <f t="shared" ref="D90:D99" si="21">C90/(EXP(B90*($A$7)))</f>
        <v>1.2418790841210556</v>
      </c>
      <c r="J90">
        <v>0.5</v>
      </c>
      <c r="K90">
        <f t="shared" ref="K90:K98" si="22">$D$15*$J$86/2</f>
        <v>3.25</v>
      </c>
      <c r="L90">
        <f t="shared" ref="L90:L99" si="23">K90/(EXP(J90*($A$7)))</f>
        <v>3.2096278516051147</v>
      </c>
    </row>
    <row r="91" spans="1:12">
      <c r="B91">
        <v>1</v>
      </c>
      <c r="C91">
        <f t="shared" si="20"/>
        <v>1.2574999999999998</v>
      </c>
      <c r="D91">
        <f t="shared" si="21"/>
        <v>1.2264522143756282</v>
      </c>
      <c r="J91">
        <v>1</v>
      </c>
      <c r="K91">
        <f t="shared" si="22"/>
        <v>3.25</v>
      </c>
      <c r="L91">
        <f t="shared" si="23"/>
        <v>3.1697572140920811</v>
      </c>
    </row>
    <row r="92" spans="1:12">
      <c r="B92">
        <v>1.5</v>
      </c>
      <c r="C92">
        <f t="shared" si="20"/>
        <v>1.2574999999999998</v>
      </c>
      <c r="D92">
        <f t="shared" si="21"/>
        <v>1.2112169802839332</v>
      </c>
      <c r="J92">
        <v>1.5</v>
      </c>
      <c r="K92">
        <f t="shared" si="22"/>
        <v>3.25</v>
      </c>
      <c r="L92">
        <f t="shared" si="23"/>
        <v>3.1303818575926705</v>
      </c>
    </row>
    <row r="93" spans="1:12">
      <c r="B93">
        <v>2</v>
      </c>
      <c r="C93">
        <f t="shared" si="20"/>
        <v>1.2574999999999998</v>
      </c>
      <c r="D93">
        <f t="shared" si="21"/>
        <v>1.1961710013096476</v>
      </c>
      <c r="J93">
        <v>2</v>
      </c>
      <c r="K93">
        <f t="shared" si="22"/>
        <v>3.25</v>
      </c>
      <c r="L93">
        <f t="shared" si="23"/>
        <v>3.0914956296273202</v>
      </c>
    </row>
    <row r="94" spans="1:12">
      <c r="B94">
        <v>2.5</v>
      </c>
      <c r="C94">
        <f t="shared" si="20"/>
        <v>1.2574999999999998</v>
      </c>
      <c r="D94">
        <f t="shared" si="21"/>
        <v>1.1813119264879457</v>
      </c>
      <c r="J94">
        <v>2.5</v>
      </c>
      <c r="K94">
        <f t="shared" si="22"/>
        <v>3.25</v>
      </c>
      <c r="L94">
        <f t="shared" si="23"/>
        <v>3.0530924541437967</v>
      </c>
    </row>
    <row r="95" spans="1:12">
      <c r="B95">
        <v>3</v>
      </c>
      <c r="C95">
        <f t="shared" si="20"/>
        <v>1.2574999999999998</v>
      </c>
      <c r="D95">
        <f t="shared" si="21"/>
        <v>1.1666374340581551</v>
      </c>
      <c r="J95">
        <v>3</v>
      </c>
      <c r="K95">
        <f t="shared" si="22"/>
        <v>3.25</v>
      </c>
      <c r="L95">
        <f t="shared" si="23"/>
        <v>3.0151663305677969</v>
      </c>
    </row>
    <row r="96" spans="1:12">
      <c r="B96">
        <v>3.5</v>
      </c>
      <c r="C96">
        <f t="shared" si="20"/>
        <v>1.2574999999999998</v>
      </c>
      <c r="D96">
        <f t="shared" si="21"/>
        <v>1.1521452311009783</v>
      </c>
      <c r="J96">
        <v>3.5</v>
      </c>
      <c r="K96">
        <f t="shared" si="22"/>
        <v>3.25</v>
      </c>
      <c r="L96">
        <f t="shared" si="23"/>
        <v>2.9777113328653519</v>
      </c>
    </row>
    <row r="97" spans="2:15">
      <c r="B97">
        <v>4</v>
      </c>
      <c r="C97">
        <f t="shared" si="20"/>
        <v>1.2574999999999998</v>
      </c>
      <c r="D97">
        <f t="shared" si="21"/>
        <v>1.137833053180219</v>
      </c>
      <c r="J97">
        <v>4</v>
      </c>
      <c r="K97">
        <f t="shared" si="22"/>
        <v>3.25</v>
      </c>
      <c r="L97">
        <f t="shared" si="23"/>
        <v>2.9407216086168684</v>
      </c>
    </row>
    <row r="98" spans="2:15">
      <c r="B98">
        <v>4.5</v>
      </c>
      <c r="C98">
        <f t="shared" si="20"/>
        <v>1.2574999999999998</v>
      </c>
      <c r="D98">
        <f t="shared" si="21"/>
        <v>1.1236986639889581</v>
      </c>
      <c r="J98">
        <v>4.5</v>
      </c>
      <c r="K98">
        <f t="shared" si="22"/>
        <v>3.25</v>
      </c>
      <c r="L98">
        <f t="shared" si="23"/>
        <v>2.9041913781026758</v>
      </c>
    </row>
    <row r="99" spans="2:15">
      <c r="B99">
        <v>5</v>
      </c>
      <c r="C99">
        <f>$D$15*$B$15/2+D86</f>
        <v>101.25749999999999</v>
      </c>
      <c r="D99">
        <f t="shared" si="21"/>
        <v>89.359430113459666</v>
      </c>
      <c r="J99">
        <v>5</v>
      </c>
      <c r="K99">
        <f>$D$15*$J$86/2+L86</f>
        <v>103.25</v>
      </c>
      <c r="L99">
        <f t="shared" si="23"/>
        <v>91.117805191859475</v>
      </c>
    </row>
    <row r="100" spans="2:15">
      <c r="C100" t="s">
        <v>53</v>
      </c>
      <c r="D100">
        <f>SUM(D90:D99)</f>
        <v>99.996775702366193</v>
      </c>
      <c r="K100" t="s">
        <v>53</v>
      </c>
      <c r="L100">
        <f>SUM(L90:L99)</f>
        <v>118.60995084907316</v>
      </c>
    </row>
    <row r="101" spans="2:15">
      <c r="C101" t="s">
        <v>51</v>
      </c>
      <c r="D101">
        <f>SUMPRODUCT(B90:B99,D90:D99)/D100</f>
        <v>4.7296263614778473</v>
      </c>
      <c r="K101" t="s">
        <v>51</v>
      </c>
      <c r="L101">
        <f>SUMPRODUCT(J90:J99,L90:L99)/L100</f>
        <v>4.4108788919285269</v>
      </c>
    </row>
    <row r="103" spans="2:15">
      <c r="C103" t="s">
        <v>52</v>
      </c>
      <c r="D103" s="5">
        <f>D100-G85</f>
        <v>-3.2242976338068274E-3</v>
      </c>
      <c r="K103" t="s">
        <v>52</v>
      </c>
      <c r="L103" s="5">
        <f>L100-G85</f>
        <v>18.609950849073158</v>
      </c>
    </row>
    <row r="104" spans="2:15">
      <c r="C104" t="s">
        <v>51</v>
      </c>
      <c r="D104" s="5">
        <f>D101</f>
        <v>4.7296263614778473</v>
      </c>
      <c r="K104" t="s">
        <v>51</v>
      </c>
      <c r="L104" s="5">
        <f>L101</f>
        <v>4.4108788919285269</v>
      </c>
    </row>
    <row r="105" spans="2:15">
      <c r="C105" s="5" t="s">
        <v>50</v>
      </c>
      <c r="D105" s="5"/>
      <c r="E105" s="5"/>
      <c r="F105" s="5"/>
      <c r="G105" s="5"/>
      <c r="K105" s="5" t="s">
        <v>49</v>
      </c>
      <c r="L105" s="5"/>
      <c r="M105" s="5"/>
      <c r="N105" s="5"/>
      <c r="O105" s="5"/>
    </row>
    <row r="106" spans="2:15">
      <c r="C106" s="5" t="s">
        <v>48</v>
      </c>
      <c r="D106" s="5"/>
      <c r="E106" s="5"/>
      <c r="F106" s="5"/>
      <c r="G106" s="5"/>
      <c r="K106" s="5" t="s">
        <v>48</v>
      </c>
      <c r="L106" s="5"/>
      <c r="M106" s="5"/>
      <c r="N106" s="5"/>
      <c r="O106" s="5"/>
    </row>
  </sheetData>
  <phoneticPr fontId="3"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6E768D-588F-405B-AE54-DCAEC7D99D60}">
  <sheetPr codeName="Sheet5"/>
  <dimension ref="A1:A32"/>
  <sheetViews>
    <sheetView zoomScale="115" zoomScaleNormal="115" workbookViewId="0">
      <selection activeCell="M16" sqref="M16"/>
    </sheetView>
  </sheetViews>
  <sheetFormatPr defaultRowHeight="15"/>
  <sheetData>
    <row r="1" spans="1:1">
      <c r="A1" s="6" t="s">
        <v>91</v>
      </c>
    </row>
    <row r="2" spans="1:1">
      <c r="A2" s="6" t="s">
        <v>92</v>
      </c>
    </row>
    <row r="32" spans="1:1">
      <c r="A32" s="6" t="s">
        <v>93</v>
      </c>
    </row>
  </sheetData>
  <phoneticPr fontId="3" type="noConversion"/>
  <pageMargins left="0.7" right="0.7" top="0.75" bottom="0.75" header="0.3" footer="0.3"/>
  <pageSetup paperSize="9"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AN165"/>
  <sheetViews>
    <sheetView topLeftCell="A139" workbookViewId="0">
      <selection activeCell="F77" sqref="F77"/>
    </sheetView>
  </sheetViews>
  <sheetFormatPr defaultRowHeight="15"/>
  <cols>
    <col min="1" max="1" width="13.7109375" customWidth="1"/>
    <col min="3" max="3" width="14.28515625" customWidth="1"/>
    <col min="4" max="4" width="18.85546875" customWidth="1"/>
  </cols>
  <sheetData>
    <row r="1" spans="1:4">
      <c r="A1" s="1" t="s">
        <v>0</v>
      </c>
      <c r="D1" s="1"/>
    </row>
    <row r="2" spans="1:4">
      <c r="A2" t="s">
        <v>1</v>
      </c>
      <c r="B2" t="s">
        <v>2</v>
      </c>
    </row>
    <row r="3" spans="1:4">
      <c r="A3">
        <v>0.05</v>
      </c>
      <c r="B3">
        <v>-1.64485362695147</v>
      </c>
    </row>
    <row r="4" spans="1:4">
      <c r="A4">
        <v>0.1</v>
      </c>
      <c r="B4">
        <v>-1.2815515655446006</v>
      </c>
    </row>
    <row r="5" spans="1:4">
      <c r="A5">
        <v>0.15000000000000002</v>
      </c>
      <c r="B5">
        <v>-1.0364333894937898</v>
      </c>
    </row>
    <row r="6" spans="1:4">
      <c r="A6">
        <v>0.2</v>
      </c>
      <c r="B6">
        <v>-0.84162123357291452</v>
      </c>
    </row>
    <row r="7" spans="1:4">
      <c r="A7">
        <v>0.25</v>
      </c>
      <c r="B7">
        <v>-0.67448975019608193</v>
      </c>
    </row>
    <row r="8" spans="1:4">
      <c r="A8">
        <v>0.3</v>
      </c>
      <c r="B8">
        <v>-0.52440051270804089</v>
      </c>
    </row>
    <row r="9" spans="1:4">
      <c r="A9">
        <v>0.35</v>
      </c>
      <c r="B9">
        <v>-0.38532046640756784</v>
      </c>
    </row>
    <row r="10" spans="1:4">
      <c r="A10">
        <v>0.39999999999999997</v>
      </c>
      <c r="B10">
        <v>-0.25334710313579989</v>
      </c>
    </row>
    <row r="11" spans="1:4">
      <c r="A11">
        <v>0.44999999999999996</v>
      </c>
      <c r="B11">
        <v>-0.12566134685507416</v>
      </c>
    </row>
    <row r="12" spans="1:4">
      <c r="A12">
        <v>0.49999999999999994</v>
      </c>
      <c r="B12">
        <v>-1.3914582123358836E-16</v>
      </c>
    </row>
    <row r="13" spans="1:4">
      <c r="A13">
        <v>0.54999999999999993</v>
      </c>
      <c r="B13">
        <v>0.12566134685507385</v>
      </c>
    </row>
    <row r="14" spans="1:4">
      <c r="A14">
        <v>0.6</v>
      </c>
      <c r="B14">
        <v>0.25334710313579978</v>
      </c>
    </row>
    <row r="15" spans="1:4">
      <c r="A15">
        <v>0.65</v>
      </c>
      <c r="B15">
        <v>0.38532046640756784</v>
      </c>
    </row>
    <row r="16" spans="1:4">
      <c r="A16">
        <v>0.70000000000000007</v>
      </c>
      <c r="B16">
        <v>0.524400512708041</v>
      </c>
    </row>
    <row r="17" spans="1:21">
      <c r="A17">
        <v>0.75000000000000011</v>
      </c>
      <c r="B17">
        <v>0.67448975019608215</v>
      </c>
    </row>
    <row r="18" spans="1:21">
      <c r="A18">
        <v>0.80000000000000016</v>
      </c>
      <c r="B18">
        <v>0.84162123357291396</v>
      </c>
    </row>
    <row r="19" spans="1:21">
      <c r="A19">
        <v>0.8500000000000002</v>
      </c>
      <c r="B19">
        <v>1.0364333894937894</v>
      </c>
    </row>
    <row r="20" spans="1:21">
      <c r="A20">
        <v>0.90000000000000024</v>
      </c>
      <c r="B20">
        <v>1.2815515655446028</v>
      </c>
    </row>
    <row r="23" spans="1:21">
      <c r="A23" s="1" t="s">
        <v>4</v>
      </c>
    </row>
    <row r="24" spans="1:21">
      <c r="A24" t="s">
        <v>3</v>
      </c>
      <c r="B24">
        <v>0</v>
      </c>
      <c r="C24">
        <f>B24+0.05</f>
        <v>0.05</v>
      </c>
      <c r="D24">
        <f t="shared" ref="D24:U24" si="0">C24+0.05</f>
        <v>0.1</v>
      </c>
      <c r="E24">
        <f t="shared" si="0"/>
        <v>0.15000000000000002</v>
      </c>
      <c r="F24">
        <f t="shared" si="0"/>
        <v>0.2</v>
      </c>
      <c r="G24">
        <f t="shared" si="0"/>
        <v>0.25</v>
      </c>
      <c r="H24">
        <f t="shared" si="0"/>
        <v>0.3</v>
      </c>
      <c r="I24">
        <f t="shared" si="0"/>
        <v>0.35</v>
      </c>
      <c r="J24">
        <f t="shared" si="0"/>
        <v>0.39999999999999997</v>
      </c>
      <c r="K24">
        <f t="shared" si="0"/>
        <v>0.44999999999999996</v>
      </c>
      <c r="L24">
        <f t="shared" si="0"/>
        <v>0.49999999999999994</v>
      </c>
      <c r="M24">
        <f t="shared" si="0"/>
        <v>0.54999999999999993</v>
      </c>
      <c r="N24">
        <f t="shared" si="0"/>
        <v>0.6</v>
      </c>
      <c r="O24">
        <f t="shared" si="0"/>
        <v>0.65</v>
      </c>
      <c r="P24">
        <f t="shared" si="0"/>
        <v>0.70000000000000007</v>
      </c>
      <c r="Q24">
        <f t="shared" si="0"/>
        <v>0.75000000000000011</v>
      </c>
      <c r="R24">
        <f t="shared" si="0"/>
        <v>0.80000000000000016</v>
      </c>
      <c r="S24">
        <f t="shared" si="0"/>
        <v>0.8500000000000002</v>
      </c>
      <c r="T24">
        <f t="shared" si="0"/>
        <v>0.90000000000000024</v>
      </c>
      <c r="U24">
        <f t="shared" si="0"/>
        <v>0.95000000000000029</v>
      </c>
    </row>
    <row r="25" spans="1:21">
      <c r="A25">
        <v>-3</v>
      </c>
      <c r="B25">
        <v>0</v>
      </c>
      <c r="C25">
        <v>-0.67082039324993692</v>
      </c>
      <c r="D25">
        <v>-0.94868329805051377</v>
      </c>
      <c r="E25">
        <v>-1.1618950038622251</v>
      </c>
      <c r="F25">
        <v>-1.3416407864998738</v>
      </c>
      <c r="G25">
        <v>-1.5</v>
      </c>
      <c r="H25">
        <v>-1.6431676725154982</v>
      </c>
      <c r="I25">
        <v>-1.7748239349298847</v>
      </c>
      <c r="J25">
        <v>-1.8973665961010275</v>
      </c>
      <c r="K25">
        <v>-2.0124611797498106</v>
      </c>
      <c r="L25">
        <v>-2.1213203435596424</v>
      </c>
      <c r="M25">
        <v>-2.2248595461286986</v>
      </c>
      <c r="N25">
        <v>-2.3237900077244502</v>
      </c>
      <c r="O25">
        <v>-2.4186773244895652</v>
      </c>
      <c r="P25">
        <v>-2.5099800796022267</v>
      </c>
      <c r="Q25">
        <v>-2.598076211353316</v>
      </c>
      <c r="R25">
        <v>-2.6832815729997481</v>
      </c>
      <c r="S25">
        <v>-2.7658633371878665</v>
      </c>
      <c r="T25">
        <v>-2.8460498941515415</v>
      </c>
      <c r="U25">
        <v>-2.9240383034426896</v>
      </c>
    </row>
    <row r="26" spans="1:21">
      <c r="A26">
        <f>A25+0.25</f>
        <v>-2.75</v>
      </c>
      <c r="B26">
        <v>0</v>
      </c>
      <c r="C26">
        <v>-0.61491869381244213</v>
      </c>
      <c r="D26">
        <v>-0.86962635654630438</v>
      </c>
      <c r="E26">
        <v>-1.0650704202070398</v>
      </c>
      <c r="F26">
        <v>-1.2298373876248843</v>
      </c>
      <c r="G26">
        <v>-1.375</v>
      </c>
      <c r="H26">
        <v>-1.5062370331392068</v>
      </c>
      <c r="I26">
        <v>-1.6269219403523945</v>
      </c>
      <c r="J26">
        <v>-1.7392527130926088</v>
      </c>
      <c r="K26">
        <v>-1.8447560814373265</v>
      </c>
      <c r="L26">
        <v>-1.9445436482630054</v>
      </c>
      <c r="M26">
        <v>-2.039454583951307</v>
      </c>
      <c r="N26">
        <v>-2.1301408404140796</v>
      </c>
      <c r="O26">
        <v>-2.2171208807821015</v>
      </c>
      <c r="P26">
        <v>-2.3008150729687076</v>
      </c>
      <c r="Q26">
        <v>-2.3815698604072066</v>
      </c>
      <c r="R26">
        <v>-2.459674775249769</v>
      </c>
      <c r="S26">
        <v>-2.5353747257555446</v>
      </c>
      <c r="T26">
        <v>-2.6088790696389133</v>
      </c>
      <c r="U26">
        <v>-2.6803684448224656</v>
      </c>
    </row>
    <row r="27" spans="1:21">
      <c r="A27">
        <f t="shared" ref="A27:A49" si="1">A26+0.25</f>
        <v>-2.5</v>
      </c>
      <c r="B27">
        <v>0</v>
      </c>
      <c r="C27">
        <v>-0.55901699437494745</v>
      </c>
      <c r="D27">
        <v>-0.79056941504209488</v>
      </c>
      <c r="E27">
        <v>-0.96824583655185426</v>
      </c>
      <c r="F27">
        <v>-1.1180339887498949</v>
      </c>
      <c r="G27">
        <v>-1.25</v>
      </c>
      <c r="H27">
        <v>-1.3693063937629151</v>
      </c>
      <c r="I27">
        <v>-1.479019945774904</v>
      </c>
      <c r="J27">
        <v>-1.5811388300841898</v>
      </c>
      <c r="K27">
        <v>-1.6770509831248424</v>
      </c>
      <c r="L27">
        <v>-1.7677669529663687</v>
      </c>
      <c r="M27">
        <v>-1.8540496217739155</v>
      </c>
      <c r="N27">
        <v>-1.9364916731037085</v>
      </c>
      <c r="O27">
        <v>-2.0155644370746377</v>
      </c>
      <c r="P27">
        <v>-2.0916500663351889</v>
      </c>
      <c r="Q27">
        <v>-2.1650635094610968</v>
      </c>
      <c r="R27">
        <v>-2.2360679774997898</v>
      </c>
      <c r="S27">
        <v>-2.3048861143232222</v>
      </c>
      <c r="T27">
        <v>-2.3717082451262845</v>
      </c>
      <c r="U27">
        <v>-2.4366985862022412</v>
      </c>
    </row>
    <row r="28" spans="1:21">
      <c r="A28">
        <f t="shared" si="1"/>
        <v>-2.25</v>
      </c>
      <c r="B28">
        <v>0</v>
      </c>
      <c r="C28">
        <v>-0.50311529493745266</v>
      </c>
      <c r="D28">
        <v>-0.71151247353788538</v>
      </c>
      <c r="E28">
        <v>-0.87142125289666883</v>
      </c>
      <c r="F28">
        <v>-1.0062305898749053</v>
      </c>
      <c r="G28">
        <v>-1.125</v>
      </c>
      <c r="H28">
        <v>-1.2323757543866236</v>
      </c>
      <c r="I28">
        <v>-1.3311179511974136</v>
      </c>
      <c r="J28">
        <v>-1.4230249470757708</v>
      </c>
      <c r="K28">
        <v>-1.509345884812358</v>
      </c>
      <c r="L28">
        <v>-1.5909902576697319</v>
      </c>
      <c r="M28">
        <v>-1.6686446595965241</v>
      </c>
      <c r="N28">
        <v>-1.7428425057933377</v>
      </c>
      <c r="O28">
        <v>-1.8140079933671738</v>
      </c>
      <c r="P28">
        <v>-1.88248505970167</v>
      </c>
      <c r="Q28">
        <v>-1.948557158514987</v>
      </c>
      <c r="R28">
        <v>-2.0124611797498111</v>
      </c>
      <c r="S28">
        <v>-2.0743975028908999</v>
      </c>
      <c r="T28">
        <v>-2.1345374206136563</v>
      </c>
      <c r="U28">
        <v>-2.1930287275820173</v>
      </c>
    </row>
    <row r="29" spans="1:21">
      <c r="A29">
        <f t="shared" si="1"/>
        <v>-2</v>
      </c>
      <c r="B29">
        <v>0</v>
      </c>
      <c r="C29">
        <v>-0.44721359549995793</v>
      </c>
      <c r="D29">
        <v>-0.63245553203367588</v>
      </c>
      <c r="E29">
        <v>-0.7745966692414834</v>
      </c>
      <c r="F29">
        <v>-0.89442719099991586</v>
      </c>
      <c r="G29">
        <v>-1</v>
      </c>
      <c r="H29">
        <v>-1.0954451150103321</v>
      </c>
      <c r="I29">
        <v>-1.1832159566199232</v>
      </c>
      <c r="J29">
        <v>-1.2649110640673518</v>
      </c>
      <c r="K29">
        <v>-1.3416407864998738</v>
      </c>
      <c r="L29">
        <v>-1.4142135623730949</v>
      </c>
      <c r="M29">
        <v>-1.4832396974191324</v>
      </c>
      <c r="N29">
        <v>-1.5491933384829668</v>
      </c>
      <c r="O29">
        <v>-1.61245154965971</v>
      </c>
      <c r="P29">
        <v>-1.6733200530681511</v>
      </c>
      <c r="Q29">
        <v>-1.7320508075688774</v>
      </c>
      <c r="R29">
        <v>-1.7888543819998319</v>
      </c>
      <c r="S29">
        <v>-1.8439088914585777</v>
      </c>
      <c r="T29">
        <v>-1.8973665961010278</v>
      </c>
      <c r="U29">
        <v>-1.9493588689617931</v>
      </c>
    </row>
    <row r="30" spans="1:21">
      <c r="A30">
        <f t="shared" si="1"/>
        <v>-1.75</v>
      </c>
      <c r="B30">
        <v>0</v>
      </c>
      <c r="C30">
        <v>-0.39131189606246319</v>
      </c>
      <c r="D30">
        <v>-0.55339859052946638</v>
      </c>
      <c r="E30">
        <v>-0.67777208558629798</v>
      </c>
      <c r="F30">
        <v>-0.78262379212492639</v>
      </c>
      <c r="G30">
        <v>-0.875</v>
      </c>
      <c r="H30">
        <v>-0.95851447563404069</v>
      </c>
      <c r="I30">
        <v>-1.0353139620424328</v>
      </c>
      <c r="J30">
        <v>-1.1067971810589328</v>
      </c>
      <c r="K30">
        <v>-1.1739356881873897</v>
      </c>
      <c r="L30">
        <v>-1.2374368670764579</v>
      </c>
      <c r="M30">
        <v>-1.2978347352417408</v>
      </c>
      <c r="N30">
        <v>-1.355544171172596</v>
      </c>
      <c r="O30">
        <v>-1.4108951059522463</v>
      </c>
      <c r="P30">
        <v>-1.4641550464346322</v>
      </c>
      <c r="Q30">
        <v>-1.5155444566227678</v>
      </c>
      <c r="R30">
        <v>-1.565247584249853</v>
      </c>
      <c r="S30">
        <v>-1.6134202800262556</v>
      </c>
      <c r="T30">
        <v>-1.6601957715883993</v>
      </c>
      <c r="U30">
        <v>-1.7056890103415689</v>
      </c>
    </row>
    <row r="31" spans="1:21">
      <c r="A31">
        <f t="shared" si="1"/>
        <v>-1.5</v>
      </c>
      <c r="B31">
        <v>0</v>
      </c>
      <c r="C31">
        <v>-0.33541019662496846</v>
      </c>
      <c r="D31">
        <v>-0.47434164902525688</v>
      </c>
      <c r="E31">
        <v>-0.58094750193111255</v>
      </c>
      <c r="F31">
        <v>-0.67082039324993692</v>
      </c>
      <c r="G31">
        <v>-0.75</v>
      </c>
      <c r="H31">
        <v>-0.82158383625774911</v>
      </c>
      <c r="I31">
        <v>-0.88741196746494233</v>
      </c>
      <c r="J31">
        <v>-0.94868329805051377</v>
      </c>
      <c r="K31">
        <v>-1.0062305898749053</v>
      </c>
      <c r="L31">
        <v>-1.0606601717798212</v>
      </c>
      <c r="M31">
        <v>-1.1124297730643493</v>
      </c>
      <c r="N31">
        <v>-1.1618950038622251</v>
      </c>
      <c r="O31">
        <v>-1.2093386622447826</v>
      </c>
      <c r="P31">
        <v>-1.2549900398011133</v>
      </c>
      <c r="Q31">
        <v>-1.299038105676658</v>
      </c>
      <c r="R31">
        <v>-1.3416407864998741</v>
      </c>
      <c r="S31">
        <v>-1.3829316685939332</v>
      </c>
      <c r="T31">
        <v>-1.4230249470757708</v>
      </c>
      <c r="U31">
        <v>-1.4620191517213448</v>
      </c>
    </row>
    <row r="32" spans="1:21">
      <c r="A32">
        <f t="shared" si="1"/>
        <v>-1.25</v>
      </c>
      <c r="B32">
        <v>0</v>
      </c>
      <c r="C32">
        <v>-0.27950849718747373</v>
      </c>
      <c r="D32">
        <v>-0.39528470752104744</v>
      </c>
      <c r="E32">
        <v>-0.48412291827592713</v>
      </c>
      <c r="F32">
        <v>-0.55901699437494745</v>
      </c>
      <c r="G32">
        <v>-0.625</v>
      </c>
      <c r="H32">
        <v>-0.68465319688145754</v>
      </c>
      <c r="I32">
        <v>-0.73950997288745202</v>
      </c>
      <c r="J32">
        <v>-0.79056941504209488</v>
      </c>
      <c r="K32">
        <v>-0.83852549156242118</v>
      </c>
      <c r="L32">
        <v>-0.88388347648318433</v>
      </c>
      <c r="M32">
        <v>-0.92702481088695776</v>
      </c>
      <c r="N32">
        <v>-0.96824583655185426</v>
      </c>
      <c r="O32">
        <v>-1.0077822185373189</v>
      </c>
      <c r="P32">
        <v>-1.0458250331675945</v>
      </c>
      <c r="Q32">
        <v>-1.0825317547305484</v>
      </c>
      <c r="R32">
        <v>-1.1180339887498949</v>
      </c>
      <c r="S32">
        <v>-1.1524430571616111</v>
      </c>
      <c r="T32">
        <v>-1.1858541225631423</v>
      </c>
      <c r="U32">
        <v>-1.2183492931011206</v>
      </c>
    </row>
    <row r="33" spans="1:21">
      <c r="A33">
        <f t="shared" si="1"/>
        <v>-1</v>
      </c>
      <c r="B33">
        <v>0</v>
      </c>
      <c r="C33">
        <v>-0.22360679774997896</v>
      </c>
      <c r="D33">
        <v>-0.31622776601683794</v>
      </c>
      <c r="E33">
        <v>-0.3872983346207417</v>
      </c>
      <c r="F33">
        <v>-0.44721359549995793</v>
      </c>
      <c r="G33">
        <v>-0.5</v>
      </c>
      <c r="H33">
        <v>-0.54772255750516607</v>
      </c>
      <c r="I33">
        <v>-0.59160797830996159</v>
      </c>
      <c r="J33">
        <v>-0.63245553203367588</v>
      </c>
      <c r="K33">
        <v>-0.67082039324993692</v>
      </c>
      <c r="L33">
        <v>-0.70710678118654746</v>
      </c>
      <c r="M33">
        <v>-0.74161984870956621</v>
      </c>
      <c r="N33">
        <v>-0.7745966692414834</v>
      </c>
      <c r="O33">
        <v>-0.80622577482985502</v>
      </c>
      <c r="P33">
        <v>-0.83666002653407556</v>
      </c>
      <c r="Q33">
        <v>-0.86602540378443871</v>
      </c>
      <c r="R33">
        <v>-0.89442719099991597</v>
      </c>
      <c r="S33">
        <v>-0.92195444572928886</v>
      </c>
      <c r="T33">
        <v>-0.94868329805051388</v>
      </c>
      <c r="U33">
        <v>-0.97467943448089656</v>
      </c>
    </row>
    <row r="34" spans="1:21">
      <c r="A34">
        <f t="shared" si="1"/>
        <v>-0.75</v>
      </c>
      <c r="B34">
        <v>0</v>
      </c>
      <c r="C34">
        <v>-0.16770509831248423</v>
      </c>
      <c r="D34">
        <v>-0.23717082451262844</v>
      </c>
      <c r="E34">
        <v>-0.29047375096555628</v>
      </c>
      <c r="F34">
        <v>-0.33541019662496846</v>
      </c>
      <c r="G34">
        <v>-0.375</v>
      </c>
      <c r="H34">
        <v>-0.41079191812887456</v>
      </c>
      <c r="I34">
        <v>-0.44370598373247117</v>
      </c>
      <c r="J34">
        <v>-0.47434164902525688</v>
      </c>
      <c r="K34">
        <v>-0.50311529493745266</v>
      </c>
      <c r="L34">
        <v>-0.5303300858899106</v>
      </c>
      <c r="M34">
        <v>-0.55621488653217466</v>
      </c>
      <c r="N34">
        <v>-0.58094750193111255</v>
      </c>
      <c r="O34">
        <v>-0.6046693311223913</v>
      </c>
      <c r="P34">
        <v>-0.62749501990055667</v>
      </c>
      <c r="Q34">
        <v>-0.649519052838329</v>
      </c>
      <c r="R34">
        <v>-0.67082039324993703</v>
      </c>
      <c r="S34">
        <v>-0.69146583429696662</v>
      </c>
      <c r="T34">
        <v>-0.71151247353788538</v>
      </c>
      <c r="U34">
        <v>-0.73100957586067239</v>
      </c>
    </row>
    <row r="35" spans="1:21">
      <c r="A35">
        <f t="shared" si="1"/>
        <v>-0.5</v>
      </c>
      <c r="B35">
        <v>0</v>
      </c>
      <c r="C35">
        <v>-0.11180339887498948</v>
      </c>
      <c r="D35">
        <v>-0.15811388300841897</v>
      </c>
      <c r="E35">
        <v>-0.19364916731037085</v>
      </c>
      <c r="F35">
        <v>-0.22360679774997896</v>
      </c>
      <c r="G35">
        <v>-0.25</v>
      </c>
      <c r="H35">
        <v>-0.27386127875258304</v>
      </c>
      <c r="I35">
        <v>-0.2958039891549808</v>
      </c>
      <c r="J35">
        <v>-0.31622776601683794</v>
      </c>
      <c r="K35">
        <v>-0.33541019662496846</v>
      </c>
      <c r="L35">
        <v>-0.35355339059327373</v>
      </c>
      <c r="M35">
        <v>-0.3708099243547831</v>
      </c>
      <c r="N35">
        <v>-0.3872983346207417</v>
      </c>
      <c r="O35">
        <v>-0.40311288741492751</v>
      </c>
      <c r="P35">
        <v>-0.41833001326703778</v>
      </c>
      <c r="Q35">
        <v>-0.43301270189221935</v>
      </c>
      <c r="R35">
        <v>-0.44721359549995798</v>
      </c>
      <c r="S35">
        <v>-0.46097722286464443</v>
      </c>
      <c r="T35">
        <v>-0.47434164902525694</v>
      </c>
      <c r="U35">
        <v>-0.48733971724044828</v>
      </c>
    </row>
    <row r="36" spans="1:21">
      <c r="A36">
        <f t="shared" si="1"/>
        <v>-0.25</v>
      </c>
      <c r="B36">
        <v>0</v>
      </c>
      <c r="C36">
        <v>-5.5901699437494741E-2</v>
      </c>
      <c r="D36">
        <v>-7.9056941504209485E-2</v>
      </c>
      <c r="E36">
        <v>-9.6824583655185426E-2</v>
      </c>
      <c r="F36">
        <v>-0.11180339887498948</v>
      </c>
      <c r="G36">
        <v>-0.125</v>
      </c>
      <c r="H36">
        <v>-0.13693063937629152</v>
      </c>
      <c r="I36">
        <v>-0.1479019945774904</v>
      </c>
      <c r="J36">
        <v>-0.15811388300841897</v>
      </c>
      <c r="K36">
        <v>-0.16770509831248423</v>
      </c>
      <c r="L36">
        <v>-0.17677669529663687</v>
      </c>
      <c r="M36">
        <v>-0.18540496217739155</v>
      </c>
      <c r="N36">
        <v>-0.19364916731037085</v>
      </c>
      <c r="O36">
        <v>-0.20155644370746376</v>
      </c>
      <c r="P36">
        <v>-0.20916500663351889</v>
      </c>
      <c r="Q36">
        <v>-0.21650635094610968</v>
      </c>
      <c r="R36">
        <v>-0.22360679774997899</v>
      </c>
      <c r="S36">
        <v>-0.23048861143232222</v>
      </c>
      <c r="T36">
        <v>-0.23717082451262847</v>
      </c>
      <c r="U36">
        <v>-0.24366985862022414</v>
      </c>
    </row>
    <row r="37" spans="1:21">
      <c r="A37">
        <f t="shared" si="1"/>
        <v>0</v>
      </c>
      <c r="B37">
        <v>0</v>
      </c>
      <c r="C37">
        <v>0</v>
      </c>
      <c r="D37">
        <v>0</v>
      </c>
      <c r="E37">
        <v>0</v>
      </c>
      <c r="F37">
        <v>0</v>
      </c>
      <c r="G37">
        <v>0</v>
      </c>
      <c r="H37">
        <v>0</v>
      </c>
      <c r="I37">
        <v>0</v>
      </c>
      <c r="J37">
        <v>0</v>
      </c>
      <c r="K37">
        <v>0</v>
      </c>
      <c r="L37">
        <v>0</v>
      </c>
      <c r="M37">
        <v>0</v>
      </c>
      <c r="N37">
        <v>0</v>
      </c>
      <c r="O37">
        <v>0</v>
      </c>
      <c r="P37">
        <v>0</v>
      </c>
      <c r="Q37">
        <v>0</v>
      </c>
      <c r="R37">
        <v>0</v>
      </c>
      <c r="S37">
        <v>0</v>
      </c>
      <c r="T37">
        <v>0</v>
      </c>
      <c r="U37">
        <v>0</v>
      </c>
    </row>
    <row r="38" spans="1:21">
      <c r="A38">
        <f t="shared" si="1"/>
        <v>0.25</v>
      </c>
      <c r="B38">
        <v>0</v>
      </c>
      <c r="C38">
        <v>5.5901699437494741E-2</v>
      </c>
      <c r="D38">
        <v>7.9056941504209485E-2</v>
      </c>
      <c r="E38">
        <v>9.6824583655185426E-2</v>
      </c>
      <c r="F38">
        <v>0.11180339887498948</v>
      </c>
      <c r="G38">
        <v>0.125</v>
      </c>
      <c r="H38">
        <v>0.13693063937629152</v>
      </c>
      <c r="I38">
        <v>0.1479019945774904</v>
      </c>
      <c r="J38">
        <v>0.15811388300841897</v>
      </c>
      <c r="K38">
        <v>0.16770509831248423</v>
      </c>
      <c r="L38">
        <v>0.17677669529663687</v>
      </c>
      <c r="M38">
        <v>0.18540496217739155</v>
      </c>
      <c r="N38">
        <v>0.19364916731037085</v>
      </c>
      <c r="O38">
        <v>0.20155644370746376</v>
      </c>
      <c r="P38">
        <v>0.20916500663351889</v>
      </c>
      <c r="Q38">
        <v>0.21650635094610968</v>
      </c>
      <c r="R38">
        <v>0.22360679774997899</v>
      </c>
      <c r="S38">
        <v>0.23048861143232222</v>
      </c>
      <c r="T38">
        <v>0.23717082451262847</v>
      </c>
      <c r="U38">
        <v>0.24366985862022414</v>
      </c>
    </row>
    <row r="39" spans="1:21">
      <c r="A39">
        <f t="shared" si="1"/>
        <v>0.5</v>
      </c>
      <c r="B39">
        <v>0</v>
      </c>
      <c r="C39">
        <v>0.11180339887498948</v>
      </c>
      <c r="D39">
        <v>0.15811388300841897</v>
      </c>
      <c r="E39">
        <v>0.19364916731037085</v>
      </c>
      <c r="F39">
        <v>0.22360679774997896</v>
      </c>
      <c r="G39">
        <v>0.25</v>
      </c>
      <c r="H39">
        <v>0.27386127875258304</v>
      </c>
      <c r="I39">
        <v>0.2958039891549808</v>
      </c>
      <c r="J39">
        <v>0.31622776601683794</v>
      </c>
      <c r="K39">
        <v>0.33541019662496846</v>
      </c>
      <c r="L39">
        <v>0.35355339059327373</v>
      </c>
      <c r="M39">
        <v>0.3708099243547831</v>
      </c>
      <c r="N39">
        <v>0.3872983346207417</v>
      </c>
      <c r="O39">
        <v>0.40311288741492751</v>
      </c>
      <c r="P39">
        <v>0.41833001326703778</v>
      </c>
      <c r="Q39">
        <v>0.43301270189221935</v>
      </c>
      <c r="R39">
        <v>0.44721359549995798</v>
      </c>
      <c r="S39">
        <v>0.46097722286464443</v>
      </c>
      <c r="T39">
        <v>0.47434164902525694</v>
      </c>
      <c r="U39">
        <v>0.48733971724044828</v>
      </c>
    </row>
    <row r="40" spans="1:21">
      <c r="A40">
        <f t="shared" si="1"/>
        <v>0.75</v>
      </c>
      <c r="B40">
        <v>0</v>
      </c>
      <c r="C40">
        <v>0.16770509831248423</v>
      </c>
      <c r="D40">
        <v>0.23717082451262844</v>
      </c>
      <c r="E40">
        <v>0.29047375096555628</v>
      </c>
      <c r="F40">
        <v>0.33541019662496846</v>
      </c>
      <c r="G40">
        <v>0.375</v>
      </c>
      <c r="H40">
        <v>0.41079191812887456</v>
      </c>
      <c r="I40">
        <v>0.44370598373247117</v>
      </c>
      <c r="J40">
        <v>0.47434164902525688</v>
      </c>
      <c r="K40">
        <v>0.50311529493745266</v>
      </c>
      <c r="L40">
        <v>0.5303300858899106</v>
      </c>
      <c r="M40">
        <v>0.55621488653217466</v>
      </c>
      <c r="N40">
        <v>0.58094750193111255</v>
      </c>
      <c r="O40">
        <v>0.6046693311223913</v>
      </c>
      <c r="P40">
        <v>0.62749501990055667</v>
      </c>
      <c r="Q40">
        <v>0.649519052838329</v>
      </c>
      <c r="R40">
        <v>0.67082039324993703</v>
      </c>
      <c r="S40">
        <v>0.69146583429696662</v>
      </c>
      <c r="T40">
        <v>0.71151247353788538</v>
      </c>
      <c r="U40">
        <v>0.73100957586067239</v>
      </c>
    </row>
    <row r="41" spans="1:21">
      <c r="A41">
        <f t="shared" si="1"/>
        <v>1</v>
      </c>
      <c r="B41">
        <v>0</v>
      </c>
      <c r="C41">
        <v>0.22360679774997896</v>
      </c>
      <c r="D41">
        <v>0.31622776601683794</v>
      </c>
      <c r="E41">
        <v>0.3872983346207417</v>
      </c>
      <c r="F41">
        <v>0.44721359549995793</v>
      </c>
      <c r="G41">
        <v>0.5</v>
      </c>
      <c r="H41">
        <v>0.54772255750516607</v>
      </c>
      <c r="I41">
        <v>0.59160797830996159</v>
      </c>
      <c r="J41">
        <v>0.63245553203367588</v>
      </c>
      <c r="K41">
        <v>0.67082039324993692</v>
      </c>
      <c r="L41">
        <v>0.70710678118654746</v>
      </c>
      <c r="M41">
        <v>0.74161984870956621</v>
      </c>
      <c r="N41">
        <v>0.7745966692414834</v>
      </c>
      <c r="O41">
        <v>0.80622577482985502</v>
      </c>
      <c r="P41">
        <v>0.83666002653407556</v>
      </c>
      <c r="Q41">
        <v>0.86602540378443871</v>
      </c>
      <c r="R41">
        <v>0.89442719099991597</v>
      </c>
      <c r="S41">
        <v>0.92195444572928886</v>
      </c>
      <c r="T41">
        <v>0.94868329805051388</v>
      </c>
      <c r="U41">
        <v>0.97467943448089656</v>
      </c>
    </row>
    <row r="42" spans="1:21">
      <c r="A42">
        <f t="shared" si="1"/>
        <v>1.25</v>
      </c>
      <c r="B42">
        <v>0</v>
      </c>
      <c r="C42">
        <v>0.27950849718747373</v>
      </c>
      <c r="D42">
        <v>0.39528470752104744</v>
      </c>
      <c r="E42">
        <v>0.48412291827592713</v>
      </c>
      <c r="F42">
        <v>0.55901699437494745</v>
      </c>
      <c r="G42">
        <v>0.625</v>
      </c>
      <c r="H42">
        <v>0.68465319688145754</v>
      </c>
      <c r="I42">
        <v>0.73950997288745202</v>
      </c>
      <c r="J42">
        <v>0.79056941504209488</v>
      </c>
      <c r="K42">
        <v>0.83852549156242118</v>
      </c>
      <c r="L42">
        <v>0.88388347648318433</v>
      </c>
      <c r="M42">
        <v>0.92702481088695776</v>
      </c>
      <c r="N42">
        <v>0.96824583655185426</v>
      </c>
      <c r="O42">
        <v>1.0077822185373189</v>
      </c>
      <c r="P42">
        <v>1.0458250331675945</v>
      </c>
      <c r="Q42">
        <v>1.0825317547305484</v>
      </c>
      <c r="R42">
        <v>1.1180339887498949</v>
      </c>
      <c r="S42">
        <v>1.1524430571616111</v>
      </c>
      <c r="T42">
        <v>1.1858541225631423</v>
      </c>
      <c r="U42">
        <v>1.2183492931011206</v>
      </c>
    </row>
    <row r="43" spans="1:21">
      <c r="A43">
        <f t="shared" si="1"/>
        <v>1.5</v>
      </c>
      <c r="B43">
        <v>0</v>
      </c>
      <c r="C43">
        <v>0.33541019662496846</v>
      </c>
      <c r="D43">
        <v>0.47434164902525688</v>
      </c>
      <c r="E43">
        <v>0.58094750193111255</v>
      </c>
      <c r="F43">
        <v>0.67082039324993692</v>
      </c>
      <c r="G43">
        <v>0.75</v>
      </c>
      <c r="H43">
        <v>0.82158383625774911</v>
      </c>
      <c r="I43">
        <v>0.88741196746494233</v>
      </c>
      <c r="J43">
        <v>0.94868329805051377</v>
      </c>
      <c r="K43">
        <v>1.0062305898749053</v>
      </c>
      <c r="L43">
        <v>1.0606601717798212</v>
      </c>
      <c r="M43">
        <v>1.1124297730643493</v>
      </c>
      <c r="N43">
        <v>1.1618950038622251</v>
      </c>
      <c r="O43">
        <v>1.2093386622447826</v>
      </c>
      <c r="P43">
        <v>1.2549900398011133</v>
      </c>
      <c r="Q43">
        <v>1.299038105676658</v>
      </c>
      <c r="R43">
        <v>1.3416407864998741</v>
      </c>
      <c r="S43">
        <v>1.3829316685939332</v>
      </c>
      <c r="T43">
        <v>1.4230249470757708</v>
      </c>
      <c r="U43">
        <v>1.4620191517213448</v>
      </c>
    </row>
    <row r="44" spans="1:21">
      <c r="A44">
        <f t="shared" si="1"/>
        <v>1.75</v>
      </c>
      <c r="B44">
        <v>0</v>
      </c>
      <c r="C44">
        <v>0.39131189606246319</v>
      </c>
      <c r="D44">
        <v>0.55339859052946638</v>
      </c>
      <c r="E44">
        <v>0.67777208558629798</v>
      </c>
      <c r="F44">
        <v>0.78262379212492639</v>
      </c>
      <c r="G44">
        <v>0.875</v>
      </c>
      <c r="H44">
        <v>0.95851447563404069</v>
      </c>
      <c r="I44">
        <v>1.0353139620424328</v>
      </c>
      <c r="J44">
        <v>1.1067971810589328</v>
      </c>
      <c r="K44">
        <v>1.1739356881873897</v>
      </c>
      <c r="L44">
        <v>1.2374368670764579</v>
      </c>
      <c r="M44">
        <v>1.2978347352417408</v>
      </c>
      <c r="N44">
        <v>1.355544171172596</v>
      </c>
      <c r="O44">
        <v>1.4108951059522463</v>
      </c>
      <c r="P44">
        <v>1.4641550464346322</v>
      </c>
      <c r="Q44">
        <v>1.5155444566227678</v>
      </c>
      <c r="R44">
        <v>1.565247584249853</v>
      </c>
      <c r="S44">
        <v>1.6134202800262556</v>
      </c>
      <c r="T44">
        <v>1.6601957715883993</v>
      </c>
      <c r="U44">
        <v>1.7056890103415689</v>
      </c>
    </row>
    <row r="45" spans="1:21">
      <c r="A45">
        <f t="shared" si="1"/>
        <v>2</v>
      </c>
      <c r="B45">
        <v>0</v>
      </c>
      <c r="C45">
        <v>0.44721359549995793</v>
      </c>
      <c r="D45">
        <v>0.63245553203367588</v>
      </c>
      <c r="E45">
        <v>0.7745966692414834</v>
      </c>
      <c r="F45">
        <v>0.89442719099991586</v>
      </c>
      <c r="G45">
        <v>1</v>
      </c>
      <c r="H45">
        <v>1.0954451150103321</v>
      </c>
      <c r="I45">
        <v>1.1832159566199232</v>
      </c>
      <c r="J45">
        <v>1.2649110640673518</v>
      </c>
      <c r="K45">
        <v>1.3416407864998738</v>
      </c>
      <c r="L45">
        <v>1.4142135623730949</v>
      </c>
      <c r="M45">
        <v>1.4832396974191324</v>
      </c>
      <c r="N45">
        <v>1.5491933384829668</v>
      </c>
      <c r="O45">
        <v>1.61245154965971</v>
      </c>
      <c r="P45">
        <v>1.6733200530681511</v>
      </c>
      <c r="Q45">
        <v>1.7320508075688774</v>
      </c>
      <c r="R45">
        <v>1.7888543819998319</v>
      </c>
      <c r="S45">
        <v>1.8439088914585777</v>
      </c>
      <c r="T45">
        <v>1.8973665961010278</v>
      </c>
      <c r="U45">
        <v>1.9493588689617931</v>
      </c>
    </row>
    <row r="46" spans="1:21">
      <c r="A46">
        <f t="shared" si="1"/>
        <v>2.25</v>
      </c>
      <c r="B46">
        <v>0</v>
      </c>
      <c r="C46">
        <v>0.50311529493745266</v>
      </c>
      <c r="D46">
        <v>0.71151247353788538</v>
      </c>
      <c r="E46">
        <v>0.87142125289666883</v>
      </c>
      <c r="F46">
        <v>1.0062305898749053</v>
      </c>
      <c r="G46">
        <v>1.125</v>
      </c>
      <c r="H46">
        <v>1.2323757543866236</v>
      </c>
      <c r="I46">
        <v>1.3311179511974136</v>
      </c>
      <c r="J46">
        <v>1.4230249470757708</v>
      </c>
      <c r="K46">
        <v>1.509345884812358</v>
      </c>
      <c r="L46">
        <v>1.5909902576697319</v>
      </c>
      <c r="M46">
        <v>1.6686446595965241</v>
      </c>
      <c r="N46">
        <v>1.7428425057933377</v>
      </c>
      <c r="O46">
        <v>1.8140079933671738</v>
      </c>
      <c r="P46">
        <v>1.88248505970167</v>
      </c>
      <c r="Q46">
        <v>1.948557158514987</v>
      </c>
      <c r="R46">
        <v>2.0124611797498111</v>
      </c>
      <c r="S46">
        <v>2.0743975028908999</v>
      </c>
      <c r="T46">
        <v>2.1345374206136563</v>
      </c>
      <c r="U46">
        <v>2.1930287275820173</v>
      </c>
    </row>
    <row r="47" spans="1:21">
      <c r="A47">
        <f t="shared" si="1"/>
        <v>2.5</v>
      </c>
      <c r="B47">
        <v>0</v>
      </c>
      <c r="C47">
        <v>0.55901699437494745</v>
      </c>
      <c r="D47">
        <v>0.79056941504209488</v>
      </c>
      <c r="E47">
        <v>0.96824583655185426</v>
      </c>
      <c r="F47">
        <v>1.1180339887498949</v>
      </c>
      <c r="G47">
        <v>1.25</v>
      </c>
      <c r="H47">
        <v>1.3693063937629151</v>
      </c>
      <c r="I47">
        <v>1.479019945774904</v>
      </c>
      <c r="J47">
        <v>1.5811388300841898</v>
      </c>
      <c r="K47">
        <v>1.6770509831248424</v>
      </c>
      <c r="L47">
        <v>1.7677669529663687</v>
      </c>
      <c r="M47">
        <v>1.8540496217739155</v>
      </c>
      <c r="N47">
        <v>1.9364916731037085</v>
      </c>
      <c r="O47">
        <v>2.0155644370746377</v>
      </c>
      <c r="P47">
        <v>2.0916500663351889</v>
      </c>
      <c r="Q47">
        <v>2.1650635094610968</v>
      </c>
      <c r="R47">
        <v>2.2360679774997898</v>
      </c>
      <c r="S47">
        <v>2.3048861143232222</v>
      </c>
      <c r="T47">
        <v>2.3717082451262845</v>
      </c>
      <c r="U47">
        <v>2.4366985862022412</v>
      </c>
    </row>
    <row r="48" spans="1:21">
      <c r="A48">
        <f t="shared" si="1"/>
        <v>2.75</v>
      </c>
      <c r="B48">
        <v>0</v>
      </c>
      <c r="C48">
        <v>0.61491869381244213</v>
      </c>
      <c r="D48">
        <v>0.86962635654630438</v>
      </c>
      <c r="E48">
        <v>1.0650704202070398</v>
      </c>
      <c r="F48">
        <v>1.2298373876248843</v>
      </c>
      <c r="G48">
        <v>1.375</v>
      </c>
      <c r="H48">
        <v>1.5062370331392068</v>
      </c>
      <c r="I48">
        <v>1.6269219403523945</v>
      </c>
      <c r="J48">
        <v>1.7392527130926088</v>
      </c>
      <c r="K48">
        <v>1.8447560814373265</v>
      </c>
      <c r="L48">
        <v>1.9445436482630054</v>
      </c>
      <c r="M48">
        <v>2.039454583951307</v>
      </c>
      <c r="N48">
        <v>2.1301408404140796</v>
      </c>
      <c r="O48">
        <v>2.2171208807821015</v>
      </c>
      <c r="P48">
        <v>2.3008150729687076</v>
      </c>
      <c r="Q48">
        <v>2.3815698604072066</v>
      </c>
      <c r="R48">
        <v>2.459674775249769</v>
      </c>
      <c r="S48">
        <v>2.5353747257555446</v>
      </c>
      <c r="T48">
        <v>2.6088790696389133</v>
      </c>
      <c r="U48">
        <v>2.6803684448224656</v>
      </c>
    </row>
    <row r="49" spans="1:21">
      <c r="A49">
        <f t="shared" si="1"/>
        <v>3</v>
      </c>
      <c r="B49">
        <v>0</v>
      </c>
      <c r="C49">
        <v>0.67082039324993692</v>
      </c>
      <c r="D49">
        <v>0.94868329805051377</v>
      </c>
      <c r="E49">
        <v>1.1618950038622251</v>
      </c>
      <c r="F49">
        <v>1.3416407864998738</v>
      </c>
      <c r="G49">
        <v>1.5</v>
      </c>
      <c r="H49">
        <v>1.6431676725154982</v>
      </c>
      <c r="I49">
        <v>1.7748239349298847</v>
      </c>
      <c r="J49">
        <v>1.8973665961010275</v>
      </c>
      <c r="K49">
        <v>2.0124611797498106</v>
      </c>
      <c r="L49">
        <v>2.1213203435596424</v>
      </c>
      <c r="M49">
        <v>2.2248595461286986</v>
      </c>
      <c r="N49">
        <v>2.3237900077244502</v>
      </c>
      <c r="O49">
        <v>2.4186773244895652</v>
      </c>
      <c r="P49">
        <v>2.5099800796022267</v>
      </c>
      <c r="Q49">
        <v>2.598076211353316</v>
      </c>
      <c r="R49">
        <v>2.6832815729997481</v>
      </c>
      <c r="S49">
        <v>2.7658633371878665</v>
      </c>
      <c r="T49">
        <v>2.8460498941515415</v>
      </c>
      <c r="U49">
        <v>2.9240383034426896</v>
      </c>
    </row>
    <row r="67" spans="1:21">
      <c r="A67" s="1" t="s">
        <v>5</v>
      </c>
    </row>
    <row r="68" spans="1:21">
      <c r="A68" t="s">
        <v>9</v>
      </c>
      <c r="B68" t="s">
        <v>6</v>
      </c>
      <c r="C68" t="s">
        <v>7</v>
      </c>
      <c r="D68" t="s">
        <v>8</v>
      </c>
    </row>
    <row r="69" spans="1:21">
      <c r="B69">
        <v>-0.3</v>
      </c>
      <c r="C69">
        <v>0.1</v>
      </c>
      <c r="D69">
        <v>0.1</v>
      </c>
    </row>
    <row r="71" spans="1:21">
      <c r="A71" t="s">
        <v>12</v>
      </c>
      <c r="B71" t="s">
        <v>10</v>
      </c>
    </row>
    <row r="72" spans="1:21">
      <c r="B72">
        <v>-1.248264738795192</v>
      </c>
    </row>
    <row r="74" spans="1:21">
      <c r="A74" t="s">
        <v>3</v>
      </c>
      <c r="B74">
        <v>0</v>
      </c>
      <c r="C74">
        <f>B74+0.05</f>
        <v>0.05</v>
      </c>
      <c r="D74">
        <f t="shared" ref="D74:U74" si="2">C74+0.05</f>
        <v>0.1</v>
      </c>
      <c r="E74">
        <f t="shared" si="2"/>
        <v>0.15000000000000002</v>
      </c>
      <c r="F74">
        <f t="shared" si="2"/>
        <v>0.2</v>
      </c>
      <c r="G74">
        <f t="shared" si="2"/>
        <v>0.25</v>
      </c>
      <c r="H74">
        <f t="shared" si="2"/>
        <v>0.3</v>
      </c>
      <c r="I74">
        <f t="shared" si="2"/>
        <v>0.35</v>
      </c>
      <c r="J74">
        <f t="shared" si="2"/>
        <v>0.39999999999999997</v>
      </c>
      <c r="K74">
        <f t="shared" si="2"/>
        <v>0.44999999999999996</v>
      </c>
      <c r="L74">
        <f t="shared" si="2"/>
        <v>0.49999999999999994</v>
      </c>
      <c r="M74">
        <f t="shared" si="2"/>
        <v>0.54999999999999993</v>
      </c>
      <c r="N74">
        <f t="shared" si="2"/>
        <v>0.6</v>
      </c>
      <c r="O74">
        <f t="shared" si="2"/>
        <v>0.65</v>
      </c>
      <c r="P74">
        <f t="shared" si="2"/>
        <v>0.70000000000000007</v>
      </c>
      <c r="Q74">
        <f t="shared" si="2"/>
        <v>0.75000000000000011</v>
      </c>
      <c r="R74">
        <f t="shared" si="2"/>
        <v>0.80000000000000016</v>
      </c>
      <c r="S74">
        <f t="shared" si="2"/>
        <v>0.8500000000000002</v>
      </c>
      <c r="T74">
        <f t="shared" si="2"/>
        <v>0.90000000000000024</v>
      </c>
      <c r="U74">
        <f t="shared" si="2"/>
        <v>0.95000000000000029</v>
      </c>
    </row>
    <row r="75" spans="1:21">
      <c r="A75">
        <v>-3</v>
      </c>
      <c r="B75">
        <v>0.44760039306557259</v>
      </c>
      <c r="C75">
        <v>0.70990214625711623</v>
      </c>
      <c r="D75">
        <v>0.80542181298130489</v>
      </c>
      <c r="E75">
        <v>0.86808295760658993</v>
      </c>
      <c r="F75">
        <v>0.9119283335262911</v>
      </c>
      <c r="G75">
        <v>0.94294042715588033</v>
      </c>
      <c r="H75">
        <v>0.96458126553030299</v>
      </c>
      <c r="I75">
        <v>0.97922562341904351</v>
      </c>
      <c r="J75">
        <v>0.98867929590504711</v>
      </c>
      <c r="K75">
        <v>0.9943933815396131</v>
      </c>
      <c r="L75">
        <v>0.99755133741186885</v>
      </c>
      <c r="M75">
        <v>0.99909653901852802</v>
      </c>
      <c r="N75">
        <v>0.99973582616685452</v>
      </c>
      <c r="O75">
        <v>0.99994460376754524</v>
      </c>
      <c r="P75">
        <v>0.99999294291322038</v>
      </c>
      <c r="Q75">
        <v>0.99999959449630949</v>
      </c>
      <c r="R75">
        <v>0.99999999419822994</v>
      </c>
      <c r="S75">
        <v>0.99999999999481648</v>
      </c>
      <c r="T75">
        <v>1</v>
      </c>
      <c r="U75">
        <v>1</v>
      </c>
    </row>
    <row r="76" spans="1:21">
      <c r="A76">
        <f>A75+0.25</f>
        <v>-2.75</v>
      </c>
      <c r="B76">
        <v>0.44760039306557259</v>
      </c>
      <c r="C76">
        <v>0.6899628122801944</v>
      </c>
      <c r="D76">
        <v>0.78166094627490168</v>
      </c>
      <c r="E76">
        <v>0.84431555007396941</v>
      </c>
      <c r="F76">
        <v>0.89022498935087335</v>
      </c>
      <c r="G76">
        <v>0.92444315767368979</v>
      </c>
      <c r="H76">
        <v>0.94979348551214848</v>
      </c>
      <c r="I76">
        <v>0.96817059702968145</v>
      </c>
      <c r="J76">
        <v>0.98102098601105658</v>
      </c>
      <c r="K76">
        <v>0.98955173931442209</v>
      </c>
      <c r="L76">
        <v>0.99482201162986095</v>
      </c>
      <c r="M76">
        <v>0.9977715625304141</v>
      </c>
      <c r="N76">
        <v>0.99921053362476664</v>
      </c>
      <c r="O76">
        <v>0.99978822679993407</v>
      </c>
      <c r="P76">
        <v>0.99996255589138539</v>
      </c>
      <c r="Q76">
        <v>0.99999659732252466</v>
      </c>
      <c r="R76">
        <v>0.9999999032370207</v>
      </c>
      <c r="S76">
        <v>0.99999999972858344</v>
      </c>
      <c r="T76">
        <v>0.99999999999999767</v>
      </c>
      <c r="U76">
        <v>1</v>
      </c>
    </row>
    <row r="77" spans="1:21">
      <c r="A77">
        <f t="shared" ref="A77:A99" si="3">A76+0.25</f>
        <v>-2.5</v>
      </c>
      <c r="B77">
        <v>0.44760039306557259</v>
      </c>
      <c r="C77">
        <v>0.6694485679173765</v>
      </c>
      <c r="D77">
        <v>0.75630989028361262</v>
      </c>
      <c r="E77">
        <v>0.81788459232505284</v>
      </c>
      <c r="F77">
        <v>0.86492681062200449</v>
      </c>
      <c r="G77">
        <v>0.90169518169932483</v>
      </c>
      <c r="H77">
        <v>0.93045538157856544</v>
      </c>
      <c r="I77">
        <v>0.95265023144302741</v>
      </c>
      <c r="J77">
        <v>0.96934017703077935</v>
      </c>
      <c r="K77">
        <v>0.98140696798558291</v>
      </c>
      <c r="L77">
        <v>0.98965820683968786</v>
      </c>
      <c r="M77">
        <v>0.99487808361991192</v>
      </c>
      <c r="N77">
        <v>0.99783854932003746</v>
      </c>
      <c r="O77">
        <v>0.99927439616765368</v>
      </c>
      <c r="P77">
        <v>0.99982709165452288</v>
      </c>
      <c r="Q77">
        <v>0.99997615560312103</v>
      </c>
      <c r="R77">
        <v>0.99999873347359247</v>
      </c>
      <c r="S77">
        <v>0.99999998994629291</v>
      </c>
      <c r="T77">
        <v>0.9999999999992969</v>
      </c>
      <c r="U77">
        <v>1</v>
      </c>
    </row>
    <row r="78" spans="1:21">
      <c r="A78">
        <f t="shared" si="3"/>
        <v>-2.25</v>
      </c>
      <c r="B78">
        <v>0.44760039306557259</v>
      </c>
      <c r="C78">
        <v>0.64841213050722701</v>
      </c>
      <c r="D78">
        <v>0.72944929448355822</v>
      </c>
      <c r="E78">
        <v>0.78881369923258671</v>
      </c>
      <c r="F78">
        <v>0.8358949529621198</v>
      </c>
      <c r="G78">
        <v>0.87429548451845263</v>
      </c>
      <c r="H78">
        <v>0.90583369666010249</v>
      </c>
      <c r="I78">
        <v>0.93158000703749944</v>
      </c>
      <c r="J78">
        <v>0.9522487020506174</v>
      </c>
      <c r="K78">
        <v>0.96838579284999349</v>
      </c>
      <c r="L78">
        <v>0.98047743173762414</v>
      </c>
      <c r="M78">
        <v>0.9890212605851314</v>
      </c>
      <c r="N78">
        <v>0.99457352745651739</v>
      </c>
      <c r="O78">
        <v>0.99776947504550306</v>
      </c>
      <c r="P78">
        <v>0.99930431066883774</v>
      </c>
      <c r="Q78">
        <v>0.99986028641917524</v>
      </c>
      <c r="R78">
        <v>0.99998697190089547</v>
      </c>
      <c r="S78">
        <v>0.999999736147272</v>
      </c>
      <c r="T78">
        <v>0.99999999988012656</v>
      </c>
      <c r="U78">
        <v>1</v>
      </c>
    </row>
    <row r="79" spans="1:21">
      <c r="A79">
        <f t="shared" si="3"/>
        <v>-2</v>
      </c>
      <c r="B79">
        <v>0.44760039306557259</v>
      </c>
      <c r="C79">
        <v>0.62691103185493602</v>
      </c>
      <c r="D79">
        <v>0.70118611350063986</v>
      </c>
      <c r="E79">
        <v>0.75718959490260906</v>
      </c>
      <c r="F79">
        <v>0.8030942336574034</v>
      </c>
      <c r="G79">
        <v>0.84197211431242491</v>
      </c>
      <c r="H79">
        <v>0.87531158082893268</v>
      </c>
      <c r="I79">
        <v>0.90391941523842978</v>
      </c>
      <c r="J79">
        <v>0.92825745075216937</v>
      </c>
      <c r="K79">
        <v>0.94860212688301571</v>
      </c>
      <c r="L79">
        <v>0.96513887593826819</v>
      </c>
      <c r="M79">
        <v>0.97803285690630226</v>
      </c>
      <c r="N79">
        <v>0.98749383294486859</v>
      </c>
      <c r="O79">
        <v>0.99384067827759859</v>
      </c>
      <c r="P79">
        <v>0.99755773818999283</v>
      </c>
      <c r="Q79">
        <v>0.99931440778816627</v>
      </c>
      <c r="R79">
        <v>0.99989449255913709</v>
      </c>
      <c r="S79">
        <v>0.99999508402157211</v>
      </c>
      <c r="T79">
        <v>0.99999998820997327</v>
      </c>
      <c r="U79">
        <v>0.99999999999999978</v>
      </c>
    </row>
    <row r="80" spans="1:21">
      <c r="A80">
        <f t="shared" si="3"/>
        <v>-1.75</v>
      </c>
      <c r="B80">
        <v>0.44760039306557259</v>
      </c>
      <c r="C80">
        <v>0.60500715937261018</v>
      </c>
      <c r="D80">
        <v>0.67165279505342701</v>
      </c>
      <c r="E80">
        <v>0.72316503776759566</v>
      </c>
      <c r="F80">
        <v>0.76660918888204788</v>
      </c>
      <c r="G80">
        <v>0.80462514317443401</v>
      </c>
      <c r="H80">
        <v>0.83847286307735702</v>
      </c>
      <c r="I80">
        <v>0.86880552849378123</v>
      </c>
      <c r="J80">
        <v>0.89595071507609181</v>
      </c>
      <c r="K80">
        <v>0.92003616407540834</v>
      </c>
      <c r="L80">
        <v>0.94105726004158186</v>
      </c>
      <c r="M80">
        <v>0.95892381931575976</v>
      </c>
      <c r="N80">
        <v>0.97350644521691487</v>
      </c>
      <c r="O80">
        <v>0.9846982301247641</v>
      </c>
      <c r="P80">
        <v>0.99250604260245057</v>
      </c>
      <c r="Q80">
        <v>0.99717677873671118</v>
      </c>
      <c r="R80">
        <v>0.99932574509214367</v>
      </c>
      <c r="S80">
        <v>0.99993480410256685</v>
      </c>
      <c r="T80">
        <v>0.99999932904776756</v>
      </c>
      <c r="U80">
        <v>0.99999999999903166</v>
      </c>
    </row>
    <row r="81" spans="1:21">
      <c r="A81">
        <f t="shared" si="3"/>
        <v>-1.5</v>
      </c>
      <c r="B81">
        <v>0.44760039306557259</v>
      </c>
      <c r="C81">
        <v>0.58276622931323907</v>
      </c>
      <c r="D81">
        <v>0.64100570334783591</v>
      </c>
      <c r="E81">
        <v>0.68695899038655861</v>
      </c>
      <c r="F81">
        <v>0.72665435080342655</v>
      </c>
      <c r="G81">
        <v>0.76236197821214513</v>
      </c>
      <c r="H81">
        <v>0.79518288262332482</v>
      </c>
      <c r="I81">
        <v>0.82570113853533578</v>
      </c>
      <c r="J81">
        <v>0.85421574016638591</v>
      </c>
      <c r="K81">
        <v>0.88083701467071651</v>
      </c>
      <c r="L81">
        <v>0.90552824203632065</v>
      </c>
      <c r="M81">
        <v>0.92812205458793084</v>
      </c>
      <c r="N81">
        <v>0.9483265259520709</v>
      </c>
      <c r="O81">
        <v>0.96573435571866384</v>
      </c>
      <c r="P81">
        <v>0.97985628137537928</v>
      </c>
      <c r="Q81">
        <v>0.99021845425711652</v>
      </c>
      <c r="R81">
        <v>0.99658941496851117</v>
      </c>
      <c r="S81">
        <v>0.99938234308685392</v>
      </c>
      <c r="T81">
        <v>0.99997781352093618</v>
      </c>
      <c r="U81">
        <v>0.9999999986531346</v>
      </c>
    </row>
    <row r="82" spans="1:21">
      <c r="A82">
        <f t="shared" si="3"/>
        <v>-1.25</v>
      </c>
      <c r="B82">
        <v>0.44760039306557259</v>
      </c>
      <c r="C82">
        <v>0.56025719943752939</v>
      </c>
      <c r="D82">
        <v>0.60942279656891629</v>
      </c>
      <c r="E82">
        <v>0.64885379987224778</v>
      </c>
      <c r="F82">
        <v>0.68357721263714721</v>
      </c>
      <c r="G82">
        <v>0.71551985920654138</v>
      </c>
      <c r="H82">
        <v>0.74565345596182042</v>
      </c>
      <c r="I82">
        <v>0.77453421647532827</v>
      </c>
      <c r="J82">
        <v>0.80249387218577783</v>
      </c>
      <c r="K82">
        <v>0.82971708438418079</v>
      </c>
      <c r="L82">
        <v>0.85627015443676791</v>
      </c>
      <c r="M82">
        <v>0.88210214993556535</v>
      </c>
      <c r="N82">
        <v>0.90702468785858692</v>
      </c>
      <c r="O82">
        <v>0.93067069903989774</v>
      </c>
      <c r="P82">
        <v>0.95243222559475738</v>
      </c>
      <c r="Q82">
        <v>0.97138898029781651</v>
      </c>
      <c r="R82">
        <v>0.98628877041611207</v>
      </c>
      <c r="S82">
        <v>0.99579907306536619</v>
      </c>
      <c r="T82">
        <v>0.99957111166969126</v>
      </c>
      <c r="U82">
        <v>0.99999941166369399</v>
      </c>
    </row>
    <row r="83" spans="1:21">
      <c r="A83">
        <f t="shared" si="3"/>
        <v>-1</v>
      </c>
      <c r="B83">
        <v>0.44760039306557259</v>
      </c>
      <c r="C83">
        <v>0.53755162979199467</v>
      </c>
      <c r="D83">
        <v>0.57710060946432895</v>
      </c>
      <c r="E83">
        <v>0.60918933978609746</v>
      </c>
      <c r="F83">
        <v>0.6378528890838695</v>
      </c>
      <c r="G83">
        <v>0.6646712664964407</v>
      </c>
      <c r="H83">
        <v>0.69047973836165089</v>
      </c>
      <c r="I83">
        <v>0.71580120127740443</v>
      </c>
      <c r="J83">
        <v>0.74100234653247321</v>
      </c>
      <c r="K83">
        <v>0.76636078197374569</v>
      </c>
      <c r="L83">
        <v>0.79209470201904197</v>
      </c>
      <c r="M83">
        <v>0.81837128698330963</v>
      </c>
      <c r="N83">
        <v>0.84529654683671818</v>
      </c>
      <c r="O83">
        <v>0.87288022214381178</v>
      </c>
      <c r="P83">
        <v>0.9009575648412641</v>
      </c>
      <c r="Q83">
        <v>0.92902910062318245</v>
      </c>
      <c r="R83">
        <v>0.9559448328197494</v>
      </c>
      <c r="S83">
        <v>0.97934277405788406</v>
      </c>
      <c r="T83">
        <v>0.99510904517305276</v>
      </c>
      <c r="U83">
        <v>0.99991831113217233</v>
      </c>
    </row>
    <row r="84" spans="1:21">
      <c r="A84">
        <f t="shared" si="3"/>
        <v>-0.75</v>
      </c>
      <c r="B84">
        <v>0.44760039306557259</v>
      </c>
      <c r="C84">
        <v>0.51472300143802352</v>
      </c>
      <c r="D84">
        <v>0.54425062318821404</v>
      </c>
      <c r="E84">
        <v>0.56835426598840955</v>
      </c>
      <c r="F84">
        <v>0.59007018603991201</v>
      </c>
      <c r="G84">
        <v>0.61060962429589938</v>
      </c>
      <c r="H84">
        <v>0.63063937279355664</v>
      </c>
      <c r="I84">
        <v>0.65060826614363143</v>
      </c>
      <c r="J84">
        <v>0.67086918728360834</v>
      </c>
      <c r="K84">
        <v>0.69173730899698105</v>
      </c>
      <c r="L84">
        <v>0.71352454644435226</v>
      </c>
      <c r="M84">
        <v>0.73656468131871511</v>
      </c>
      <c r="N84">
        <v>0.76123507903455445</v>
      </c>
      <c r="O84">
        <v>0.78797643641884463</v>
      </c>
      <c r="P84">
        <v>0.81730590127371205</v>
      </c>
      <c r="Q84">
        <v>0.84980222379061887</v>
      </c>
      <c r="R84">
        <v>0.88598538784809722</v>
      </c>
      <c r="S84">
        <v>0.92580493677980424</v>
      </c>
      <c r="T84">
        <v>0.96663178067177158</v>
      </c>
      <c r="U84">
        <v>0.99631973104126237</v>
      </c>
    </row>
    <row r="85" spans="1:21">
      <c r="A85">
        <f t="shared" si="3"/>
        <v>-0.5</v>
      </c>
      <c r="B85">
        <v>0.44760039306557259</v>
      </c>
      <c r="C85">
        <v>0.49184600392177091</v>
      </c>
      <c r="D85">
        <v>0.51109513278301399</v>
      </c>
      <c r="E85">
        <v>0.52677474031586713</v>
      </c>
      <c r="F85">
        <v>0.54090959247707704</v>
      </c>
      <c r="G85">
        <v>0.55431493542730026</v>
      </c>
      <c r="H85">
        <v>0.56744923864208774</v>
      </c>
      <c r="I85">
        <v>0.58063308690499871</v>
      </c>
      <c r="J85">
        <v>0.5941332788335314</v>
      </c>
      <c r="K85">
        <v>0.60820639484492711</v>
      </c>
      <c r="L85">
        <v>0.62312968424761606</v>
      </c>
      <c r="M85">
        <v>0.63923129411524604</v>
      </c>
      <c r="N85">
        <v>0.65692852334621621</v>
      </c>
      <c r="O85">
        <v>0.67678491246112538</v>
      </c>
      <c r="P85">
        <v>0.69960486603029826</v>
      </c>
      <c r="Q85">
        <v>0.72660354459681997</v>
      </c>
      <c r="R85">
        <v>0.75973520769672342</v>
      </c>
      <c r="S85">
        <v>0.80237143585467696</v>
      </c>
      <c r="T85">
        <v>0.86069449774893925</v>
      </c>
      <c r="U85">
        <v>0.94412220987879547</v>
      </c>
    </row>
    <row r="86" spans="1:21">
      <c r="A86">
        <f t="shared" si="3"/>
        <v>-0.25</v>
      </c>
      <c r="B86">
        <v>0.44760039306557259</v>
      </c>
      <c r="C86">
        <v>0.46899580298604415</v>
      </c>
      <c r="D86">
        <v>0.47786274625590436</v>
      </c>
      <c r="E86">
        <v>0.48490115913695903</v>
      </c>
      <c r="F86">
        <v>0.49111450478562774</v>
      </c>
      <c r="G86">
        <v>0.4969015036014533</v>
      </c>
      <c r="H86">
        <v>0.50248155696570707</v>
      </c>
      <c r="I86">
        <v>0.50800363576774488</v>
      </c>
      <c r="J86">
        <v>0.51358783101444483</v>
      </c>
      <c r="K86">
        <v>0.51934661994695031</v>
      </c>
      <c r="L86">
        <v>0.52539978198998971</v>
      </c>
      <c r="M86">
        <v>0.53188909952606855</v>
      </c>
      <c r="N86">
        <v>0.53899758731726921</v>
      </c>
      <c r="O86">
        <v>0.54697983672157391</v>
      </c>
      <c r="P86">
        <v>0.5562163465312997</v>
      </c>
      <c r="Q86">
        <v>0.56732195263281771</v>
      </c>
      <c r="R86">
        <v>0.58139013039591347</v>
      </c>
      <c r="S86">
        <v>0.60063968763645659</v>
      </c>
      <c r="T86">
        <v>0.63060075457968578</v>
      </c>
      <c r="U86">
        <v>0.69168311340522615</v>
      </c>
    </row>
    <row r="87" spans="1:21">
      <c r="A87">
        <f t="shared" si="3"/>
        <v>0</v>
      </c>
      <c r="B87">
        <v>0.44760039306557259</v>
      </c>
      <c r="C87">
        <v>0.44624730047710753</v>
      </c>
      <c r="D87">
        <v>0.44478366673646635</v>
      </c>
      <c r="E87">
        <v>0.44319357184926017</v>
      </c>
      <c r="F87">
        <v>0.4414576892578137</v>
      </c>
      <c r="G87">
        <v>0.4395522874553372</v>
      </c>
      <c r="H87">
        <v>0.43744784899234052</v>
      </c>
      <c r="I87">
        <v>0.43510712057530038</v>
      </c>
      <c r="J87">
        <v>0.43248229478616695</v>
      </c>
      <c r="K87">
        <v>0.42951082597534451</v>
      </c>
      <c r="L87">
        <v>0.42610902218420288</v>
      </c>
      <c r="M87">
        <v>0.42216186599128275</v>
      </c>
      <c r="N87">
        <v>0.417506125831548</v>
      </c>
      <c r="O87">
        <v>0.41190081566077397</v>
      </c>
      <c r="P87">
        <v>0.40497202494773843</v>
      </c>
      <c r="Q87">
        <v>0.39610088018588174</v>
      </c>
      <c r="R87">
        <v>0.3841692321148194</v>
      </c>
      <c r="S87">
        <v>0.36688464981160906</v>
      </c>
      <c r="T87">
        <v>0.33850192085915742</v>
      </c>
      <c r="U87">
        <v>0.27789780059378077</v>
      </c>
    </row>
    <row r="88" spans="1:21">
      <c r="A88">
        <f t="shared" si="3"/>
        <v>0.25</v>
      </c>
      <c r="B88">
        <v>0.44760039306557259</v>
      </c>
      <c r="C88">
        <v>0.42367439857823136</v>
      </c>
      <c r="D88">
        <v>0.41208491961315047</v>
      </c>
      <c r="E88">
        <v>0.40210657316663567</v>
      </c>
      <c r="F88">
        <v>0.39270549041354341</v>
      </c>
      <c r="G88">
        <v>0.38344628056722396</v>
      </c>
      <c r="H88">
        <v>0.37406485960990654</v>
      </c>
      <c r="I88">
        <v>0.36435718711234155</v>
      </c>
      <c r="J88">
        <v>0.35413443466210737</v>
      </c>
      <c r="K88">
        <v>0.34319710393582525</v>
      </c>
      <c r="L88">
        <v>0.33131348979750552</v>
      </c>
      <c r="M88">
        <v>0.31819528751577786</v>
      </c>
      <c r="N88">
        <v>0.3034638892831491</v>
      </c>
      <c r="O88">
        <v>0.28659806741232197</v>
      </c>
      <c r="P88">
        <v>0.26684617222532736</v>
      </c>
      <c r="Q88">
        <v>0.24306874286155172</v>
      </c>
      <c r="R88">
        <v>0.21343796185022504</v>
      </c>
      <c r="S88">
        <v>0.1748336365375957</v>
      </c>
      <c r="T88">
        <v>0.12169503816160981</v>
      </c>
      <c r="U88">
        <v>4.6593307713969037E-2</v>
      </c>
    </row>
    <row r="89" spans="1:21">
      <c r="A89">
        <f t="shared" si="3"/>
        <v>0.5</v>
      </c>
      <c r="B89">
        <v>0.44760039306557259</v>
      </c>
      <c r="C89">
        <v>0.40134928040260576</v>
      </c>
      <c r="D89">
        <v>0.37998568919698295</v>
      </c>
      <c r="E89">
        <v>0.36207449305721473</v>
      </c>
      <c r="F89">
        <v>0.34558253383779314</v>
      </c>
      <c r="G89">
        <v>0.32968629671579797</v>
      </c>
      <c r="H89">
        <v>0.31391979813119847</v>
      </c>
      <c r="I89">
        <v>0.29795680737227115</v>
      </c>
      <c r="J89">
        <v>0.28152870247589279</v>
      </c>
      <c r="K89">
        <v>0.26438435198634225</v>
      </c>
      <c r="L89">
        <v>0.24626540635245942</v>
      </c>
      <c r="M89">
        <v>0.22688738873626194</v>
      </c>
      <c r="N89">
        <v>0.20592283044659487</v>
      </c>
      <c r="O89">
        <v>0.18298624168597447</v>
      </c>
      <c r="P89">
        <v>0.15762645498842631</v>
      </c>
      <c r="Q89">
        <v>0.12934812373192173</v>
      </c>
      <c r="R89">
        <v>9.7737936243131568E-2</v>
      </c>
      <c r="S89">
        <v>6.2964576259610092E-2</v>
      </c>
      <c r="T89">
        <v>2.7647237097432178E-2</v>
      </c>
      <c r="U89">
        <v>2.8153399572613241E-3</v>
      </c>
    </row>
    <row r="90" spans="1:21">
      <c r="A90">
        <f t="shared" si="3"/>
        <v>0.75</v>
      </c>
      <c r="B90">
        <v>0.44760039306557259</v>
      </c>
      <c r="C90">
        <v>0.37934171860384269</v>
      </c>
      <c r="D90">
        <v>0.34869292418801623</v>
      </c>
      <c r="E90">
        <v>0.32349768553677682</v>
      </c>
      <c r="F90">
        <v>0.30073961916146386</v>
      </c>
      <c r="G90">
        <v>0.27923448206165347</v>
      </c>
      <c r="H90">
        <v>0.25835237244384618</v>
      </c>
      <c r="I90">
        <v>0.23769525146437809</v>
      </c>
      <c r="J90">
        <v>0.21698085110302157</v>
      </c>
      <c r="K90">
        <v>0.19599329606012864</v>
      </c>
      <c r="L90">
        <v>0.17456217593660339</v>
      </c>
      <c r="M90">
        <v>0.1525584362925558</v>
      </c>
      <c r="N90">
        <v>0.12990586806769083</v>
      </c>
      <c r="O90">
        <v>0.10661444210266567</v>
      </c>
      <c r="P90">
        <v>8.2851753285402535E-2</v>
      </c>
      <c r="Q90">
        <v>5.908621796827683E-2</v>
      </c>
      <c r="R90">
        <v>3.6362796425789323E-2</v>
      </c>
      <c r="S90">
        <v>1.6773584878748873E-2</v>
      </c>
      <c r="T90">
        <v>3.8316519319512559E-3</v>
      </c>
      <c r="U90">
        <v>5.7095736808481674E-5</v>
      </c>
    </row>
    <row r="91" spans="1:21">
      <c r="A91">
        <f t="shared" si="3"/>
        <v>1</v>
      </c>
      <c r="B91">
        <v>0.44760039306557259</v>
      </c>
      <c r="C91">
        <v>0.35771842302370604</v>
      </c>
      <c r="D91">
        <v>0.31839735834886174</v>
      </c>
      <c r="E91">
        <v>0.28673063440616986</v>
      </c>
      <c r="F91">
        <v>0.25872715904988697</v>
      </c>
      <c r="G91">
        <v>0.23286178615656819</v>
      </c>
      <c r="H91">
        <v>0.2083680711726868</v>
      </c>
      <c r="I91">
        <v>0.18480990485347534</v>
      </c>
      <c r="J91">
        <v>0.16193054332570475</v>
      </c>
      <c r="K91">
        <v>0.13959211131600044</v>
      </c>
      <c r="L91">
        <v>0.11775407222534455</v>
      </c>
      <c r="M91">
        <v>9.6473993236244379E-2</v>
      </c>
      <c r="N91">
        <v>7.5925713444384132E-2</v>
      </c>
      <c r="O91">
        <v>5.6434520316292223E-2</v>
      </c>
      <c r="P91">
        <v>3.8528492326687674E-2</v>
      </c>
      <c r="Q91">
        <v>2.299400195309961E-2</v>
      </c>
      <c r="R91">
        <v>1.0879493352544182E-2</v>
      </c>
      <c r="S91">
        <v>3.2582570445225997E-3</v>
      </c>
      <c r="T91">
        <v>3.1709411839904683E-4</v>
      </c>
      <c r="U91">
        <v>3.7490562052966893E-7</v>
      </c>
    </row>
    <row r="92" spans="1:21">
      <c r="A92">
        <f t="shared" si="3"/>
        <v>1.25</v>
      </c>
      <c r="B92">
        <v>0.44760039306557259</v>
      </c>
      <c r="C92">
        <v>0.33654243751263568</v>
      </c>
      <c r="D92">
        <v>0.28927007311083985</v>
      </c>
      <c r="E92">
        <v>0.25207245849921589</v>
      </c>
      <c r="F92">
        <v>0.21997593985436789</v>
      </c>
      <c r="G92">
        <v>0.19111569799958553</v>
      </c>
      <c r="H92">
        <v>0.16459167458531626</v>
      </c>
      <c r="I92">
        <v>0.1399296216861115</v>
      </c>
      <c r="J92">
        <v>0.11688988278641156</v>
      </c>
      <c r="K92">
        <v>9.5387950294432547E-2</v>
      </c>
      <c r="L92">
        <v>7.5460045291062677E-2</v>
      </c>
      <c r="M92">
        <v>5.7249160896107945E-2</v>
      </c>
      <c r="N92">
        <v>4.0999034279689948E-2</v>
      </c>
      <c r="O92">
        <v>2.7044637426864981E-2</v>
      </c>
      <c r="P92">
        <v>1.578137489126253E-2</v>
      </c>
      <c r="Q92">
        <v>7.580375985326503E-3</v>
      </c>
      <c r="R92">
        <v>2.5986085921329122E-3</v>
      </c>
      <c r="S92">
        <v>4.5705151210401798E-4</v>
      </c>
      <c r="T92">
        <v>1.5461857323644504E-5</v>
      </c>
      <c r="U92">
        <v>7.8152724579129082E-10</v>
      </c>
    </row>
    <row r="93" spans="1:21">
      <c r="A93">
        <f t="shared" si="3"/>
        <v>1.5</v>
      </c>
      <c r="B93">
        <v>0.44760039306557259</v>
      </c>
      <c r="C93">
        <v>0.31587259495477282</v>
      </c>
      <c r="D93">
        <v>0.26145970354816661</v>
      </c>
      <c r="E93">
        <v>0.21976022402706746</v>
      </c>
      <c r="F93">
        <v>0.18478623656428383</v>
      </c>
      <c r="G93">
        <v>0.15430813093882376</v>
      </c>
      <c r="H93">
        <v>0.12726327055266692</v>
      </c>
      <c r="I93">
        <v>0.10309968111909998</v>
      </c>
      <c r="J93">
        <v>8.1537659074636296E-2</v>
      </c>
      <c r="K93">
        <v>6.2463087914663103E-2</v>
      </c>
      <c r="L93">
        <v>4.5870063451009246E-2</v>
      </c>
      <c r="M93">
        <v>3.1821085220468191E-2</v>
      </c>
      <c r="N93">
        <v>2.0407972275704067E-2</v>
      </c>
      <c r="O93">
        <v>1.1700810254227199E-2</v>
      </c>
      <c r="P93">
        <v>5.6741604411747869E-3</v>
      </c>
      <c r="Q93">
        <v>2.1080159730445533E-3</v>
      </c>
      <c r="R93">
        <v>4.9289886634682574E-4</v>
      </c>
      <c r="S93">
        <v>4.5989739393442201E-5</v>
      </c>
      <c r="T93">
        <v>4.4040202734264219E-7</v>
      </c>
      <c r="U93">
        <v>5.1124065466710834E-13</v>
      </c>
    </row>
    <row r="94" spans="1:21">
      <c r="A94">
        <f t="shared" si="3"/>
        <v>1.75</v>
      </c>
      <c r="B94">
        <v>0.44760039306557259</v>
      </c>
      <c r="C94">
        <v>0.29576303823738026</v>
      </c>
      <c r="D94">
        <v>0.23509035976750647</v>
      </c>
      <c r="E94">
        <v>0.18996527350185666</v>
      </c>
      <c r="F94">
        <v>0.15332550521761754</v>
      </c>
      <c r="G94">
        <v>0.12252283064215017</v>
      </c>
      <c r="H94">
        <v>9.6272537406892608E-2</v>
      </c>
      <c r="I94">
        <v>7.3873530589089118E-2</v>
      </c>
      <c r="J94">
        <v>5.4918419448268585E-2</v>
      </c>
      <c r="K94">
        <v>3.9156938110726534E-2</v>
      </c>
      <c r="L94">
        <v>2.6416150703627607E-2</v>
      </c>
      <c r="M94">
        <v>1.6541944827971704E-2</v>
      </c>
      <c r="N94">
        <v>9.3469073757311266E-3</v>
      </c>
      <c r="O94">
        <v>4.5602225206832735E-3</v>
      </c>
      <c r="P94">
        <v>1.7860515013799472E-3</v>
      </c>
      <c r="Q94">
        <v>4.9291192688572102E-4</v>
      </c>
      <c r="R94">
        <v>7.3956049715086074E-5</v>
      </c>
      <c r="S94">
        <v>3.3038466095778497E-6</v>
      </c>
      <c r="T94">
        <v>7.2848488008179478E-9</v>
      </c>
      <c r="U94">
        <v>1.0417988886416976E-16</v>
      </c>
    </row>
    <row r="95" spans="1:21">
      <c r="A95">
        <f t="shared" si="3"/>
        <v>2</v>
      </c>
      <c r="B95">
        <v>0.44760039306557259</v>
      </c>
      <c r="C95">
        <v>0.27626281346157999</v>
      </c>
      <c r="D95">
        <v>0.2102603039942309</v>
      </c>
      <c r="E95">
        <v>0.16279257736435057</v>
      </c>
      <c r="F95">
        <v>0.12563409987438709</v>
      </c>
      <c r="G95">
        <v>9.5639479690944926E-2</v>
      </c>
      <c r="H95">
        <v>7.1221986450436175E-2</v>
      </c>
      <c r="I95">
        <v>5.1446728373789254E-2</v>
      </c>
      <c r="J95">
        <v>3.5690096658238225E-2</v>
      </c>
      <c r="K95">
        <v>2.3478504096442612E-2</v>
      </c>
      <c r="L95">
        <v>1.4397230060445436E-2</v>
      </c>
      <c r="M95">
        <v>8.0321993524319554E-3</v>
      </c>
      <c r="N95">
        <v>3.9330091990109201E-3</v>
      </c>
      <c r="O95">
        <v>1.5981579787688338E-3</v>
      </c>
      <c r="P95">
        <v>4.9114842569769048E-4</v>
      </c>
      <c r="Q95">
        <v>9.6673492518873464E-5</v>
      </c>
      <c r="R95">
        <v>8.7524428392652326E-6</v>
      </c>
      <c r="S95">
        <v>1.6887098487384736E-7</v>
      </c>
      <c r="T95">
        <v>6.9696247431338062E-11</v>
      </c>
      <c r="U95">
        <v>6.581146391516383E-21</v>
      </c>
    </row>
    <row r="96" spans="1:21">
      <c r="A96">
        <f t="shared" si="3"/>
        <v>2.25</v>
      </c>
      <c r="B96">
        <v>0.44760039306557259</v>
      </c>
      <c r="C96">
        <v>0.2574155401377215</v>
      </c>
      <c r="D96">
        <v>0.18704139129687106</v>
      </c>
      <c r="E96">
        <v>0.13828292326933284</v>
      </c>
      <c r="F96">
        <v>0.10163780714566167</v>
      </c>
      <c r="G96">
        <v>7.3370087958769925E-2</v>
      </c>
      <c r="H96">
        <v>5.1507035433719893E-2</v>
      </c>
      <c r="I96">
        <v>3.4805392341810147E-2</v>
      </c>
      <c r="J96">
        <v>2.236550442282503E-2</v>
      </c>
      <c r="K96">
        <v>1.3454984916092691E-2</v>
      </c>
      <c r="L96">
        <v>7.4194095603179354E-3</v>
      </c>
      <c r="M96">
        <v>3.639155633950807E-3</v>
      </c>
      <c r="N96">
        <v>1.5185707816370798E-3</v>
      </c>
      <c r="O96">
        <v>5.0291443990614225E-4</v>
      </c>
      <c r="P96">
        <v>1.1779785805622014E-4</v>
      </c>
      <c r="Q96">
        <v>1.5872929719827414E-5</v>
      </c>
      <c r="R96">
        <v>8.1520625371014074E-7</v>
      </c>
      <c r="S96">
        <v>6.125819324464487E-9</v>
      </c>
      <c r="T96">
        <v>3.8454221051968398E-13</v>
      </c>
      <c r="U96">
        <v>1.284413328724021E-25</v>
      </c>
    </row>
    <row r="97" spans="1:21">
      <c r="A97">
        <f t="shared" si="3"/>
        <v>2.5</v>
      </c>
      <c r="B97">
        <v>0.44760039306557259</v>
      </c>
      <c r="C97">
        <v>0.23925916148728532</v>
      </c>
      <c r="D97">
        <v>0.16547925074118808</v>
      </c>
      <c r="E97">
        <v>0.11641759420800524</v>
      </c>
      <c r="F97">
        <v>8.1165524194423022E-2</v>
      </c>
      <c r="G97">
        <v>5.5302458617943862E-2</v>
      </c>
      <c r="H97">
        <v>3.6400422743858935E-2</v>
      </c>
      <c r="I97">
        <v>2.286457410085797E-2</v>
      </c>
      <c r="J97">
        <v>1.3507556537631841E-2</v>
      </c>
      <c r="K97">
        <v>7.3649055782139886E-3</v>
      </c>
      <c r="L97">
        <v>3.6125270662646118E-3</v>
      </c>
      <c r="M97">
        <v>1.5370973357676223E-3</v>
      </c>
      <c r="N97">
        <v>5.3747184245413735E-4</v>
      </c>
      <c r="O97">
        <v>1.419392833158117E-4</v>
      </c>
      <c r="P97">
        <v>2.4608832482287358E-5</v>
      </c>
      <c r="Q97">
        <v>2.1785334578034147E-6</v>
      </c>
      <c r="R97">
        <v>5.9655263809414111E-8</v>
      </c>
      <c r="S97">
        <v>1.5740284369801231E-10</v>
      </c>
      <c r="T97">
        <v>1.2209075622709889E-15</v>
      </c>
      <c r="U97">
        <v>7.7255712409285642E-31</v>
      </c>
    </row>
    <row r="98" spans="1:21">
      <c r="A98">
        <f t="shared" si="3"/>
        <v>2.75</v>
      </c>
      <c r="B98">
        <v>0.44760039306557259</v>
      </c>
      <c r="C98">
        <v>0.22182577632772643</v>
      </c>
      <c r="D98">
        <v>0.1455941554117211</v>
      </c>
      <c r="E98">
        <v>9.7125061807091365E-2</v>
      </c>
      <c r="F98">
        <v>6.3970160451216937E-2</v>
      </c>
      <c r="G98">
        <v>4.094551987310964E-2</v>
      </c>
      <c r="H98">
        <v>2.5130227476219218E-2</v>
      </c>
      <c r="I98">
        <v>1.4579335878082172E-2</v>
      </c>
      <c r="J98">
        <v>7.8584615300409735E-3</v>
      </c>
      <c r="K98">
        <v>3.8484055905403554E-3</v>
      </c>
      <c r="L98">
        <v>1.6608229250574084E-3</v>
      </c>
      <c r="M98">
        <v>6.0480282537855119E-4</v>
      </c>
      <c r="N98">
        <v>1.7422856156072391E-4</v>
      </c>
      <c r="O98">
        <v>3.5894655318624742E-5</v>
      </c>
      <c r="P98">
        <v>4.4730838995455703E-6</v>
      </c>
      <c r="Q98">
        <v>2.496361021233722E-7</v>
      </c>
      <c r="R98">
        <v>3.4252520652591564E-9</v>
      </c>
      <c r="S98">
        <v>2.8605905248541241E-12</v>
      </c>
      <c r="T98">
        <v>2.2269557099840362E-18</v>
      </c>
      <c r="U98">
        <v>1.4295145219633744E-36</v>
      </c>
    </row>
    <row r="99" spans="1:21">
      <c r="A99">
        <f t="shared" si="3"/>
        <v>3</v>
      </c>
      <c r="B99">
        <v>0.44760039306557259</v>
      </c>
      <c r="C99">
        <v>0.20514155239024046</v>
      </c>
      <c r="D99">
        <v>0.127382505532286</v>
      </c>
      <c r="E99">
        <v>8.0289142191510718E-2</v>
      </c>
      <c r="F99">
        <v>4.9750820933999823E-2</v>
      </c>
      <c r="G99">
        <v>2.9771990564992582E-2</v>
      </c>
      <c r="H99">
        <v>1.6943907418218884E-2</v>
      </c>
      <c r="I99">
        <v>9.020282074203469E-3</v>
      </c>
      <c r="J99">
        <v>4.4023234456430785E-3</v>
      </c>
      <c r="K99">
        <v>1.9187358975101374E-3</v>
      </c>
      <c r="L99">
        <v>7.2055253570335327E-4</v>
      </c>
      <c r="M99">
        <v>2.2154644492234935E-4</v>
      </c>
      <c r="N99">
        <v>5.1691419266285044E-5</v>
      </c>
      <c r="O99">
        <v>8.1270368579687614E-6</v>
      </c>
      <c r="P99">
        <v>7.0681280714990326E-7</v>
      </c>
      <c r="Q99">
        <v>2.385975094088659E-8</v>
      </c>
      <c r="R99">
        <v>1.541474902993177E-10</v>
      </c>
      <c r="S99">
        <v>3.6727145870901488E-14</v>
      </c>
      <c r="T99">
        <v>2.3306516583502644E-21</v>
      </c>
      <c r="U99">
        <v>8.1259844101757701E-43</v>
      </c>
    </row>
    <row r="102" spans="1:21">
      <c r="A102" s="1" t="s">
        <v>11</v>
      </c>
    </row>
    <row r="118" spans="1:40">
      <c r="A118" t="s">
        <v>13</v>
      </c>
      <c r="B118" t="s">
        <v>7</v>
      </c>
      <c r="C118" t="s">
        <v>1</v>
      </c>
    </row>
    <row r="119" spans="1:40">
      <c r="B119">
        <v>0.3</v>
      </c>
      <c r="C119">
        <v>0.5</v>
      </c>
    </row>
    <row r="121" spans="1:40">
      <c r="A121" t="s">
        <v>14</v>
      </c>
      <c r="B121">
        <v>2.5000000000000001E-2</v>
      </c>
      <c r="C121">
        <v>0.05</v>
      </c>
      <c r="D121">
        <v>7.5000000000000011E-2</v>
      </c>
      <c r="E121">
        <v>0.1</v>
      </c>
      <c r="F121">
        <v>0.125</v>
      </c>
      <c r="G121">
        <v>0.15</v>
      </c>
      <c r="H121">
        <v>0.17499999999999999</v>
      </c>
      <c r="I121">
        <v>0.19999999999999998</v>
      </c>
      <c r="J121">
        <v>0.22499999999999998</v>
      </c>
      <c r="K121">
        <v>0.24999999999999997</v>
      </c>
      <c r="L121">
        <v>0.27499999999999997</v>
      </c>
      <c r="M121">
        <v>0.3</v>
      </c>
      <c r="N121">
        <v>0.32500000000000001</v>
      </c>
      <c r="O121">
        <v>0.35000000000000003</v>
      </c>
      <c r="P121">
        <v>0.37500000000000006</v>
      </c>
      <c r="Q121">
        <v>0.40000000000000008</v>
      </c>
      <c r="R121">
        <v>0.4250000000000001</v>
      </c>
      <c r="S121">
        <v>0.45000000000000012</v>
      </c>
      <c r="T121">
        <v>0.47500000000000014</v>
      </c>
      <c r="U121">
        <v>0.50000000000000011</v>
      </c>
      <c r="V121">
        <v>0.52500000000000013</v>
      </c>
      <c r="W121">
        <v>0.55000000000000016</v>
      </c>
      <c r="X121">
        <v>0.57500000000000018</v>
      </c>
      <c r="Y121">
        <v>0.6000000000000002</v>
      </c>
      <c r="Z121">
        <v>0.62500000000000022</v>
      </c>
      <c r="AA121">
        <v>0.65000000000000024</v>
      </c>
      <c r="AB121">
        <v>0.67500000000000027</v>
      </c>
      <c r="AC121">
        <v>0.70000000000000029</v>
      </c>
      <c r="AD121">
        <v>0.72500000000000031</v>
      </c>
      <c r="AE121">
        <v>0.75000000000000033</v>
      </c>
      <c r="AF121">
        <v>0.77500000000000036</v>
      </c>
      <c r="AG121">
        <v>0.80000000000000038</v>
      </c>
      <c r="AH121">
        <v>0.8250000000000004</v>
      </c>
      <c r="AI121">
        <v>0.85000000000000042</v>
      </c>
      <c r="AJ121">
        <v>0.87500000000000044</v>
      </c>
      <c r="AK121">
        <v>0.90000000000000047</v>
      </c>
      <c r="AL121">
        <v>0.92500000000000049</v>
      </c>
      <c r="AM121">
        <v>0.95000000000000051</v>
      </c>
      <c r="AN121">
        <v>0.97500000000000053</v>
      </c>
    </row>
    <row r="122" spans="1:40">
      <c r="A122" s="2" t="s">
        <v>15</v>
      </c>
      <c r="B122">
        <v>2.3005045423370146E-8</v>
      </c>
      <c r="C122">
        <v>2.2453170111101968E-6</v>
      </c>
      <c r="D122">
        <v>2.9765589739906781E-5</v>
      </c>
      <c r="E122">
        <v>1.7573304709583376E-4</v>
      </c>
      <c r="F122">
        <v>6.6790990552942429E-4</v>
      </c>
      <c r="G122">
        <v>1.9233029267137344E-3</v>
      </c>
      <c r="H122">
        <v>4.5743757307447844E-3</v>
      </c>
      <c r="I122">
        <v>9.4583240771104766E-3</v>
      </c>
      <c r="J122">
        <v>1.7569547449312054E-2</v>
      </c>
      <c r="K122">
        <v>2.9981739916112346E-2</v>
      </c>
      <c r="L122">
        <v>4.7749910977646109E-2</v>
      </c>
      <c r="M122">
        <v>7.1804428372703663E-2</v>
      </c>
      <c r="N122">
        <v>0.10284924705294088</v>
      </c>
      <c r="O122">
        <v>0.14127525999177254</v>
      </c>
      <c r="P122">
        <v>0.18709755968747002</v>
      </c>
      <c r="Q122">
        <v>0.23992267690029534</v>
      </c>
      <c r="R122">
        <v>0.29894886419090905</v>
      </c>
      <c r="S122">
        <v>0.36299947122993831</v>
      </c>
      <c r="T122">
        <v>0.43058662959103389</v>
      </c>
      <c r="U122">
        <v>0.50000000000000033</v>
      </c>
      <c r="V122">
        <v>0.56941337040896678</v>
      </c>
      <c r="W122">
        <v>0.63700052877006241</v>
      </c>
      <c r="X122">
        <v>0.70105113580909162</v>
      </c>
      <c r="Y122">
        <v>0.76007732309970533</v>
      </c>
      <c r="Z122">
        <v>0.81290244031253056</v>
      </c>
      <c r="AA122">
        <v>0.85872474000822785</v>
      </c>
      <c r="AB122">
        <v>0.89715075294705948</v>
      </c>
      <c r="AC122">
        <v>0.9281955716272966</v>
      </c>
      <c r="AD122">
        <v>0.95225008902235408</v>
      </c>
      <c r="AE122">
        <v>0.97001826008388792</v>
      </c>
      <c r="AF122">
        <v>0.98243045255068817</v>
      </c>
      <c r="AG122">
        <v>0.99054167592288955</v>
      </c>
      <c r="AH122">
        <v>0.99542562426925529</v>
      </c>
      <c r="AI122">
        <v>0.99807669707328628</v>
      </c>
      <c r="AJ122">
        <v>0.99933209009447055</v>
      </c>
      <c r="AK122">
        <v>0.99982426695290416</v>
      </c>
      <c r="AL122">
        <v>0.99997023441026012</v>
      </c>
      <c r="AM122">
        <v>0.9999977546829889</v>
      </c>
      <c r="AN122">
        <v>0.99999997699495458</v>
      </c>
    </row>
    <row r="140" spans="1:40">
      <c r="A140" s="1" t="s">
        <v>16</v>
      </c>
    </row>
    <row r="141" spans="1:40">
      <c r="A141" s="3" t="s">
        <v>17</v>
      </c>
      <c r="B141" s="3" t="s">
        <v>18</v>
      </c>
    </row>
    <row r="142" spans="1:40">
      <c r="A142" t="s">
        <v>14</v>
      </c>
      <c r="B142">
        <v>2.5000000000000001E-2</v>
      </c>
      <c r="C142">
        <v>0.05</v>
      </c>
      <c r="D142">
        <v>7.5000000000000011E-2</v>
      </c>
      <c r="E142">
        <v>0.1</v>
      </c>
      <c r="F142">
        <v>0.125</v>
      </c>
      <c r="G142">
        <v>0.15</v>
      </c>
      <c r="H142">
        <v>0.17499999999999999</v>
      </c>
      <c r="I142">
        <v>0.19999999999999998</v>
      </c>
      <c r="J142">
        <v>0.22499999999999998</v>
      </c>
      <c r="K142">
        <v>0.24999999999999997</v>
      </c>
      <c r="L142">
        <v>0.27499999999999997</v>
      </c>
      <c r="M142">
        <v>0.3</v>
      </c>
      <c r="N142">
        <v>0.32500000000000001</v>
      </c>
      <c r="O142">
        <v>0.35000000000000003</v>
      </c>
      <c r="P142">
        <v>0.37500000000000006</v>
      </c>
      <c r="Q142">
        <v>0.40000000000000008</v>
      </c>
      <c r="R142">
        <v>0.4250000000000001</v>
      </c>
      <c r="S142">
        <v>0.45000000000000012</v>
      </c>
      <c r="T142">
        <v>0.47500000000000014</v>
      </c>
      <c r="U142">
        <v>0.50000000000000011</v>
      </c>
      <c r="V142">
        <v>0.52500000000000013</v>
      </c>
      <c r="W142">
        <v>0.55000000000000016</v>
      </c>
      <c r="X142">
        <v>0.57500000000000018</v>
      </c>
      <c r="Y142">
        <v>0.6000000000000002</v>
      </c>
      <c r="Z142">
        <v>0.62500000000000022</v>
      </c>
      <c r="AA142">
        <v>0.65000000000000024</v>
      </c>
      <c r="AB142">
        <v>0.67500000000000027</v>
      </c>
      <c r="AC142">
        <v>0.70000000000000029</v>
      </c>
      <c r="AD142">
        <v>0.72500000000000031</v>
      </c>
      <c r="AE142">
        <v>0.75000000000000033</v>
      </c>
      <c r="AF142">
        <v>0.77500000000000036</v>
      </c>
      <c r="AG142">
        <v>0.80000000000000038</v>
      </c>
      <c r="AH142">
        <v>0.8250000000000004</v>
      </c>
      <c r="AI142">
        <v>0.85000000000000042</v>
      </c>
      <c r="AJ142">
        <v>0.87500000000000044</v>
      </c>
      <c r="AK142">
        <v>0.90000000000000047</v>
      </c>
      <c r="AL142">
        <v>0.92500000000000049</v>
      </c>
      <c r="AM142">
        <v>0.95000000000000051</v>
      </c>
      <c r="AN142">
        <v>0.97500000000000053</v>
      </c>
    </row>
    <row r="143" spans="1:40">
      <c r="A143" t="s">
        <v>20</v>
      </c>
      <c r="B143">
        <v>1.089474775219694E-32</v>
      </c>
      <c r="C143">
        <v>4.0167544519718616E-19</v>
      </c>
      <c r="D143">
        <v>2.3944472239719383E-12</v>
      </c>
      <c r="E143">
        <v>3.0994258754881469E-8</v>
      </c>
      <c r="F143">
        <v>1.5345679897313067E-5</v>
      </c>
      <c r="G143">
        <v>1.0089911429112691E-3</v>
      </c>
      <c r="H143">
        <v>1.6944287512603746E-2</v>
      </c>
      <c r="I143">
        <v>0.10759452294104302</v>
      </c>
      <c r="J143">
        <v>0.33665898347383172</v>
      </c>
      <c r="K143">
        <v>0.63537594820971188</v>
      </c>
      <c r="L143">
        <v>0.85859919684635033</v>
      </c>
      <c r="M143">
        <v>0.96163621499079621</v>
      </c>
      <c r="N143">
        <v>0.99265903957853463</v>
      </c>
      <c r="O143">
        <v>0.9989972837119353</v>
      </c>
      <c r="P143">
        <v>0.99990118195564948</v>
      </c>
      <c r="Q143">
        <v>0.99999292226948633</v>
      </c>
      <c r="R143">
        <v>0.99999963038378381</v>
      </c>
      <c r="S143">
        <v>0.99999998594104644</v>
      </c>
      <c r="T143">
        <v>0.99999999961260666</v>
      </c>
      <c r="U143">
        <v>0.99999999999234324</v>
      </c>
      <c r="V143">
        <v>0.99999999999989309</v>
      </c>
      <c r="W143">
        <v>0.999999999999999</v>
      </c>
      <c r="X143">
        <v>1</v>
      </c>
      <c r="Y143">
        <v>1</v>
      </c>
      <c r="Z143">
        <v>1</v>
      </c>
      <c r="AA143">
        <v>1</v>
      </c>
      <c r="AB143">
        <v>1</v>
      </c>
      <c r="AC143">
        <v>1</v>
      </c>
      <c r="AD143">
        <v>1</v>
      </c>
      <c r="AE143">
        <v>1</v>
      </c>
      <c r="AF143">
        <v>1</v>
      </c>
      <c r="AG143">
        <v>1</v>
      </c>
      <c r="AH143">
        <v>1</v>
      </c>
      <c r="AI143">
        <v>1</v>
      </c>
      <c r="AJ143">
        <v>1</v>
      </c>
      <c r="AK143">
        <v>1</v>
      </c>
      <c r="AL143">
        <v>1</v>
      </c>
      <c r="AM143">
        <v>1</v>
      </c>
      <c r="AN143">
        <v>1</v>
      </c>
    </row>
    <row r="144" spans="1:40">
      <c r="A144" s="3" t="s">
        <v>17</v>
      </c>
      <c r="B144" s="3" t="s">
        <v>19</v>
      </c>
    </row>
    <row r="145" spans="1:40">
      <c r="A145" s="3" t="s">
        <v>14</v>
      </c>
      <c r="B145">
        <v>2.5000000000000001E-2</v>
      </c>
      <c r="C145">
        <v>0.05</v>
      </c>
      <c r="D145">
        <v>7.5000000000000011E-2</v>
      </c>
      <c r="E145">
        <v>0.1</v>
      </c>
      <c r="F145">
        <v>0.125</v>
      </c>
      <c r="G145">
        <v>0.15</v>
      </c>
      <c r="H145">
        <v>0.17499999999999999</v>
      </c>
      <c r="I145">
        <v>0.19999999999999998</v>
      </c>
      <c r="J145">
        <v>0.22499999999999998</v>
      </c>
      <c r="K145">
        <v>0.24999999999999997</v>
      </c>
      <c r="L145">
        <v>0.27499999999999997</v>
      </c>
      <c r="M145">
        <v>0.3</v>
      </c>
      <c r="N145">
        <v>0.32500000000000001</v>
      </c>
      <c r="O145">
        <v>0.35000000000000003</v>
      </c>
      <c r="P145">
        <v>0.37500000000000006</v>
      </c>
      <c r="Q145">
        <v>0.40000000000000008</v>
      </c>
      <c r="R145">
        <v>0.4250000000000001</v>
      </c>
      <c r="S145">
        <v>0.45000000000000012</v>
      </c>
      <c r="T145">
        <v>0.47500000000000014</v>
      </c>
      <c r="U145">
        <v>0.50000000000000011</v>
      </c>
      <c r="V145">
        <v>0.52500000000000013</v>
      </c>
      <c r="W145">
        <v>0.55000000000000016</v>
      </c>
      <c r="X145">
        <v>0.57500000000000018</v>
      </c>
      <c r="Y145">
        <v>0.6000000000000002</v>
      </c>
      <c r="Z145">
        <v>0.62500000000000022</v>
      </c>
      <c r="AA145">
        <v>0.65000000000000024</v>
      </c>
      <c r="AB145">
        <v>0.67500000000000027</v>
      </c>
      <c r="AC145">
        <v>0.70000000000000029</v>
      </c>
      <c r="AD145">
        <v>0.72500000000000031</v>
      </c>
      <c r="AE145">
        <v>0.75000000000000033</v>
      </c>
      <c r="AF145">
        <v>0.77500000000000036</v>
      </c>
      <c r="AG145">
        <v>0.80000000000000038</v>
      </c>
      <c r="AH145">
        <v>0.8250000000000004</v>
      </c>
      <c r="AI145">
        <v>0.85000000000000042</v>
      </c>
      <c r="AJ145">
        <v>0.87500000000000044</v>
      </c>
      <c r="AK145">
        <v>0.90000000000000047</v>
      </c>
      <c r="AL145">
        <v>0.92500000000000049</v>
      </c>
      <c r="AM145">
        <v>0.95000000000000051</v>
      </c>
      <c r="AN145">
        <v>0.97500000000000053</v>
      </c>
    </row>
    <row r="146" spans="1:40">
      <c r="A146" s="3" t="s">
        <v>20</v>
      </c>
      <c r="B146">
        <v>0.52422956874351057</v>
      </c>
      <c r="C146">
        <v>0.56808091185377463</v>
      </c>
      <c r="D146">
        <v>0.59624256457278646</v>
      </c>
      <c r="E146">
        <v>0.61758404830900404</v>
      </c>
      <c r="F146">
        <v>0.63504358293039753</v>
      </c>
      <c r="G146">
        <v>0.64998037484403359</v>
      </c>
      <c r="H146">
        <v>0.6631413903932909</v>
      </c>
      <c r="I146">
        <v>0.67498391426247106</v>
      </c>
      <c r="J146">
        <v>0.68580964556987878</v>
      </c>
      <c r="K146">
        <v>0.69582897880645256</v>
      </c>
      <c r="L146">
        <v>0.70519509638699984</v>
      </c>
      <c r="M146">
        <v>0.71402347957278967</v>
      </c>
      <c r="N146">
        <v>0.72240376141579088</v>
      </c>
      <c r="O146">
        <v>0.73040728513860764</v>
      </c>
      <c r="P146">
        <v>0.73809212371947819</v>
      </c>
      <c r="Q146">
        <v>0.74550653270992839</v>
      </c>
      <c r="R146">
        <v>0.75269140165652848</v>
      </c>
      <c r="S146">
        <v>0.75968204735795331</v>
      </c>
      <c r="T146">
        <v>0.76650956557975725</v>
      </c>
      <c r="U146">
        <v>0.77320188320107208</v>
      </c>
      <c r="V146">
        <v>0.77978460770064162</v>
      </c>
      <c r="W146">
        <v>0.78628174347666713</v>
      </c>
      <c r="X146">
        <v>0.79271632824893823</v>
      </c>
      <c r="Y146">
        <v>0.79911103424715224</v>
      </c>
      <c r="Z146">
        <v>0.80548877644106032</v>
      </c>
      <c r="AA146">
        <v>0.81187337349678668</v>
      </c>
      <c r="AB146">
        <v>0.81829031762181736</v>
      </c>
      <c r="AC146">
        <v>0.82476773007287418</v>
      </c>
      <c r="AD146">
        <v>0.83133761619016977</v>
      </c>
      <c r="AE146">
        <v>0.83803760001973904</v>
      </c>
      <c r="AF146">
        <v>0.84491343966568311</v>
      </c>
      <c r="AG146">
        <v>0.85202285570924174</v>
      </c>
      <c r="AH146">
        <v>0.85944167274523731</v>
      </c>
      <c r="AI146">
        <v>0.86727429244679377</v>
      </c>
      <c r="AJ146">
        <v>0.87567295148213442</v>
      </c>
      <c r="AK146">
        <v>0.88487679867666813</v>
      </c>
      <c r="AL146">
        <v>0.89530287945324238</v>
      </c>
      <c r="AM146">
        <v>0.90780778453768618</v>
      </c>
      <c r="AN146">
        <v>0.92479633635199976</v>
      </c>
    </row>
    <row r="164" spans="1:1">
      <c r="A164" s="1" t="s">
        <v>87</v>
      </c>
    </row>
    <row r="165" spans="1:1">
      <c r="A165" s="1" t="s">
        <v>88</v>
      </c>
    </row>
  </sheetData>
  <phoneticPr fontId="3" type="noConversion"/>
  <pageMargins left="0.7" right="0.7" top="0.75" bottom="0.75" header="0.3" footer="0.3"/>
  <pageSetup paperSize="9" orientation="portrait" horizontalDpi="4294967293" verticalDpi="0" r:id="rId1"/>
  <drawing r:id="rId2"/>
  <legacyDrawing r:id="rId3"/>
  <controls>
    <mc:AlternateContent xmlns:mc="http://schemas.openxmlformats.org/markup-compatibility/2006">
      <mc:Choice Requires="x14">
        <control shapeId="1027" r:id="rId4" name="CommandButton3">
          <controlPr defaultSize="0" autoLine="0" r:id="rId5">
            <anchor moveWithCells="1">
              <from>
                <xdr:col>4</xdr:col>
                <xdr:colOff>66675</xdr:colOff>
                <xdr:row>117</xdr:row>
                <xdr:rowOff>9525</xdr:rowOff>
              </from>
              <to>
                <xdr:col>6</xdr:col>
                <xdr:colOff>19050</xdr:colOff>
                <xdr:row>118</xdr:row>
                <xdr:rowOff>133350</xdr:rowOff>
              </to>
            </anchor>
          </controlPr>
        </control>
      </mc:Choice>
      <mc:Fallback>
        <control shapeId="1027" r:id="rId4" name="CommandButton3"/>
      </mc:Fallback>
    </mc:AlternateContent>
    <mc:AlternateContent xmlns:mc="http://schemas.openxmlformats.org/markup-compatibility/2006">
      <mc:Choice Requires="x14">
        <control shapeId="1025" r:id="rId6" name="CommandButton1">
          <controlPr defaultSize="0" autoLine="0" autoPict="0" r:id="rId7">
            <anchor moveWithCells="1">
              <from>
                <xdr:col>3</xdr:col>
                <xdr:colOff>9525</xdr:colOff>
                <xdr:row>70</xdr:row>
                <xdr:rowOff>38100</xdr:rowOff>
              </from>
              <to>
                <xdr:col>3</xdr:col>
                <xdr:colOff>1114425</xdr:colOff>
                <xdr:row>71</xdr:row>
                <xdr:rowOff>180975</xdr:rowOff>
              </to>
            </anchor>
          </controlPr>
        </control>
      </mc:Choice>
      <mc:Fallback>
        <control shapeId="1025" r:id="rId6" name="CommandButton1"/>
      </mc:Fallback>
    </mc:AlternateContent>
    <mc:AlternateContent xmlns:mc="http://schemas.openxmlformats.org/markup-compatibility/2006">
      <mc:Choice Requires="x14">
        <control shapeId="1026" r:id="rId8" name="CommandButton2">
          <controlPr defaultSize="0" autoLine="0" autoPict="0" r:id="rId9">
            <anchor moveWithCells="1">
              <from>
                <xdr:col>6</xdr:col>
                <xdr:colOff>104775</xdr:colOff>
                <xdr:row>70</xdr:row>
                <xdr:rowOff>38100</xdr:rowOff>
              </from>
              <to>
                <xdr:col>9</xdr:col>
                <xdr:colOff>66675</xdr:colOff>
                <xdr:row>71</xdr:row>
                <xdr:rowOff>152400</xdr:rowOff>
              </to>
            </anchor>
          </controlPr>
        </control>
      </mc:Choice>
      <mc:Fallback>
        <control shapeId="1026" r:id="rId8" name="CommandButton2"/>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Grade</vt:lpstr>
      <vt:lpstr>exercise1</vt:lpstr>
      <vt:lpstr>exercise2</vt:lpstr>
      <vt:lpstr>exercise3</vt:lpstr>
      <vt:lpstr>app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2018-10-21T15:45:04Z</dcterms:modified>
</cp:coreProperties>
</file>