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0_ncr:100000_{6B71DFAD-9CA1-459E-BDAB-97DBF1DE3109}" xr6:coauthVersionLast="31" xr6:coauthVersionMax="31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definedNames>
    <definedName name="solver_adj" localSheetId="0" hidden="1">Sheet1!$A$8:$E$10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Sheet1!$A$14</definedName>
    <definedName name="solver_lhs10" localSheetId="0" hidden="1">Sheet1!$B$15</definedName>
    <definedName name="solver_lhs11" localSheetId="0" hidden="1">Sheet1!$B$16</definedName>
    <definedName name="solver_lhs12" localSheetId="0" hidden="1">Sheet1!$B$17</definedName>
    <definedName name="solver_lhs13" localSheetId="0" hidden="1">Sheet1!$B$19</definedName>
    <definedName name="solver_lhs14" localSheetId="0" hidden="1">Sheet1!$B$20</definedName>
    <definedName name="solver_lhs2" localSheetId="0" hidden="1">Sheet1!$A$15</definedName>
    <definedName name="solver_lhs3" localSheetId="0" hidden="1">Sheet1!$A$16</definedName>
    <definedName name="solver_lhs4" localSheetId="0" hidden="1">Sheet1!$A$17</definedName>
    <definedName name="solver_lhs5" localSheetId="0" hidden="1">Sheet1!$A$19</definedName>
    <definedName name="solver_lhs6" localSheetId="0" hidden="1">Sheet1!$A$20</definedName>
    <definedName name="solver_lhs7" localSheetId="0" hidden="1">Sheet1!$A$21</definedName>
    <definedName name="solver_lhs8" localSheetId="0" hidden="1">Sheet1!$B$13</definedName>
    <definedName name="solver_lhs9" localSheetId="0" hidden="1">Sheet1!$B$14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14</definedName>
    <definedName name="solver_nwt" localSheetId="0" hidden="1">1</definedName>
    <definedName name="solver_opt" localSheetId="0" hidden="1">Sheet1!$A$13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B15" i="1"/>
  <c r="B13" i="1"/>
  <c r="B19" i="1"/>
  <c r="A14" i="1"/>
  <c r="B17" i="1"/>
  <c r="A15" i="1"/>
  <c r="A13" i="1"/>
  <c r="A19" i="1"/>
  <c r="A20" i="1"/>
  <c r="A17" i="1"/>
  <c r="B14" i="1"/>
  <c r="B20" i="1"/>
  <c r="B16" i="1"/>
  <c r="A21" i="1"/>
  <c r="A16" i="1"/>
</calcChain>
</file>

<file path=xl/sharedStrings.xml><?xml version="1.0" encoding="utf-8"?>
<sst xmlns="http://schemas.openxmlformats.org/spreadsheetml/2006/main" count="19" uniqueCount="19">
  <si>
    <t>t</t>
    <phoneticPr fontId="1" type="noConversion"/>
  </si>
  <si>
    <t>r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</si>
  <si>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</si>
  <si>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</si>
  <si>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</si>
  <si>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</si>
  <si>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</si>
  <si>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0-1</t>
    <phoneticPr fontId="1" type="noConversion"/>
  </si>
  <si>
    <t>1-5</t>
    <phoneticPr fontId="1" type="noConversion"/>
  </si>
  <si>
    <t>5-10</t>
    <phoneticPr fontId="1" type="noConversion"/>
  </si>
  <si>
    <t>restrictions</t>
    <phoneticPr fontId="1" type="noConversion"/>
  </si>
  <si>
    <t>value</t>
    <phoneticPr fontId="1" type="noConversion"/>
  </si>
  <si>
    <t>first D</t>
    <phoneticPr fontId="1" type="noConversion"/>
  </si>
  <si>
    <t>second D</t>
    <phoneticPr fontId="1" type="noConversion"/>
  </si>
  <si>
    <t>third D</t>
    <phoneticPr fontId="1" type="noConversion"/>
  </si>
  <si>
    <t>integral</t>
    <phoneticPr fontId="1" type="noConversion"/>
  </si>
  <si>
    <t>value at two ends</t>
    <phoneticPr fontId="1" type="noConversion"/>
  </si>
  <si>
    <t>second D at two ends</t>
    <phoneticPr fontId="1" type="noConversion"/>
  </si>
  <si>
    <t>third D at right end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</si>
</sst>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1"/>
  <sheetViews>
    <sheetView tabSelected="1" topLeftCell="A4" workbookViewId="0">
      <selection activeCell="D22" sqref="D22"/>
    </sheetView>
  </sheetViews>
  <sheetFormatPr defaultRowHeight="14.1" x14ac:dyDescent="0.5"/>
  <cols>
    <col min="1" max="1" width="13.19921875" bestFit="1" customWidth="1"/>
  </cols>
  <sheetData>
    <row r="1" spans="1:6" x14ac:dyDescent="0.5">
      <c r="A1" t="s">
        <v>0</v>
      </c>
      <c r="B1" t="s">
        <v>1</v>
      </c>
    </row>
    <row r="2" spans="1:6" x14ac:dyDescent="0.5">
      <c r="A2">
        <v>0</v>
      </c>
      <c r="B2">
        <v>2.5000000000000001E-2</v>
      </c>
    </row>
    <row r="3" spans="1:6" x14ac:dyDescent="0.5">
      <c r="A3">
        <v>1</v>
      </c>
      <c r="B3">
        <v>2.6499999999999999E-2</v>
      </c>
    </row>
    <row r="4" spans="1:6" x14ac:dyDescent="0.5">
      <c r="A4">
        <v>5</v>
      </c>
      <c r="B4">
        <v>3.2500000000000001E-2</v>
      </c>
    </row>
    <row r="5" spans="1:6" x14ac:dyDescent="0.5">
      <c r="A5">
        <v>10</v>
      </c>
      <c r="B5">
        <v>3.15E-2</v>
      </c>
    </row>
    <row r="7" spans="1:6" x14ac:dyDescent="0.5">
      <c r="A7" t="s">
        <v>2</v>
      </c>
      <c r="B7" t="s">
        <v>3</v>
      </c>
      <c r="C7" t="s">
        <v>4</v>
      </c>
      <c r="D7" t="s">
        <v>5</v>
      </c>
      <c r="E7" t="s">
        <v>6</v>
      </c>
    </row>
    <row r="8" spans="1:6" x14ac:dyDescent="0.5">
      <c r="A8">
        <v>-1.4748154651596788E-4</v>
      </c>
      <c r="B8">
        <v>3.8462372234742011E-4</v>
      </c>
      <c r="C8">
        <v>0</v>
      </c>
      <c r="D8">
        <v>2.8666807574326825E-3</v>
      </c>
      <c r="E8">
        <v>2.5000000000000001E-2</v>
      </c>
      <c r="F8" t="s">
        <v>7</v>
      </c>
    </row>
    <row r="9" spans="1:6" x14ac:dyDescent="0.5">
      <c r="A9">
        <v>1.7288963678358064E-5</v>
      </c>
      <c r="B9">
        <v>-2.7445831842992776E-4</v>
      </c>
      <c r="C9">
        <v>9.8862306116603176E-4</v>
      </c>
      <c r="D9">
        <v>2.2075987166553378E-3</v>
      </c>
      <c r="E9">
        <v>2.5164770510194241E-2</v>
      </c>
      <c r="F9" s="1" t="s">
        <v>8</v>
      </c>
    </row>
    <row r="10" spans="1:6" x14ac:dyDescent="0.5">
      <c r="A10">
        <v>-3.5660477568641081E-6</v>
      </c>
      <c r="B10">
        <v>1.4264191027455687E-4</v>
      </c>
      <c r="C10">
        <v>-2.1396286541180672E-3</v>
      </c>
      <c r="D10">
        <v>1.2635104434271511E-2</v>
      </c>
      <c r="E10">
        <v>1.2130388363168791E-2</v>
      </c>
      <c r="F10" s="1" t="s">
        <v>9</v>
      </c>
    </row>
    <row r="12" spans="1:6" x14ac:dyDescent="0.5">
      <c r="A12" s="2" t="s">
        <v>10</v>
      </c>
    </row>
    <row r="13" spans="1:6" x14ac:dyDescent="0.5">
      <c r="A13">
        <f>valueF(A8,B8,C8,D8,E8,A3)-valueF(A9,B9,C9,D9,E9,A3)</f>
        <v>9.7144514654701197E-17</v>
      </c>
      <c r="B13">
        <f>valueF(A9,B9,C9,D9,E9,A4)-valueF(A10,B10,C10,D10,E10,A4)</f>
        <v>3.3306690738754696E-16</v>
      </c>
      <c r="D13" t="s">
        <v>11</v>
      </c>
    </row>
    <row r="14" spans="1:6" x14ac:dyDescent="0.5">
      <c r="A14">
        <f>firstD(A8,B8,C8,D8,A3)-firstD(A9,B9,C9,D9,A3)</f>
        <v>2.1250362580715887E-17</v>
      </c>
      <c r="B14">
        <f>firstD(A9,B9,C9,D9,A4)-firstD(A10,B10,C10,D10,A4)</f>
        <v>-4.4441447050180827E-16</v>
      </c>
      <c r="D14" t="s">
        <v>12</v>
      </c>
    </row>
    <row r="15" spans="1:6" x14ac:dyDescent="0.5">
      <c r="A15">
        <f>secondD(A8,B8,C8,A3)-secondD(A9,B9,C9,A3)</f>
        <v>1.1243176528674681E-16</v>
      </c>
      <c r="B15">
        <f>secondD(A9,B9,C9,A4)-secondD(A10,B10,C10,A4)</f>
        <v>3.1073234263434557E-16</v>
      </c>
      <c r="D15" t="s">
        <v>13</v>
      </c>
    </row>
    <row r="16" spans="1:6" x14ac:dyDescent="0.5">
      <c r="A16">
        <f>thirdD(A8,B8,A3)-thirdD(A9,B9,A3)</f>
        <v>2.6476217052096018E-16</v>
      </c>
      <c r="B16">
        <f>thirdD(A9,B9,A4)-thirdD(A10,B10,A4)</f>
        <v>-2.4708967510944646E-16</v>
      </c>
      <c r="D16" t="s">
        <v>14</v>
      </c>
    </row>
    <row r="17" spans="1:4" x14ac:dyDescent="0.5">
      <c r="A17">
        <f>integral(A8,B8,C8,D8,E8,A3)-integral(A8,B8,C8,D8,E8,A2)-(B3*A3-B2*A2)</f>
        <v>0</v>
      </c>
      <c r="B17">
        <f>integral(A9,B9,C9,D9,E9,A4)-integral(A9,B9,C9,D9,E9,A3)-(A4*B4-A3*B3)</f>
        <v>6.3837823915946501E-15</v>
      </c>
      <c r="C17">
        <f>integral(A10,B10,C10,D10,E10,A5)-integral(A10,B10,C10,D10,E10,A4)-(A5*B5-A4*B4)</f>
        <v>2.3134802566673246E-2</v>
      </c>
      <c r="D17" t="s">
        <v>15</v>
      </c>
    </row>
    <row r="19" spans="1:4" x14ac:dyDescent="0.5">
      <c r="A19">
        <f>valueF(A8,B8,C8,D8,E8,A2)-B2</f>
        <v>0</v>
      </c>
      <c r="B19">
        <f>valueF(A10,B10,C10,D10,E10,A5)-B5</f>
        <v>-7.0360384185619296E-15</v>
      </c>
      <c r="D19" t="s">
        <v>16</v>
      </c>
    </row>
    <row r="20" spans="1:4" x14ac:dyDescent="0.5">
      <c r="A20">
        <f>secondD(A8,B8,C8,A2)</f>
        <v>0</v>
      </c>
      <c r="B20">
        <f>secondD(A10,B10,C10,A5)</f>
        <v>3.4792725341417641E-16</v>
      </c>
      <c r="D20" t="s">
        <v>17</v>
      </c>
    </row>
    <row r="21" spans="1:4" x14ac:dyDescent="0.5">
      <c r="A21">
        <f>thirdD(A10,B10,A5)</f>
        <v>-4.4743668405761161E-17</v>
      </c>
      <c r="D21" t="s">
        <v>18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2018-09-02T21:55:18Z</dcterms:modified>
</cp:coreProperties>
</file>